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f102eceae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9246b5455e4444d"/>
    <x:sheet xmlns:r="http://schemas.openxmlformats.org/officeDocument/2006/relationships" name="Setup" sheetId="2" r:id="R5840a4284fe34b4e"/>
    <x:sheet xmlns:r="http://schemas.openxmlformats.org/officeDocument/2006/relationships" name="Rules" sheetId="3" r:id="Rc2715d98d68f4e85"/>
    <x:sheet xmlns:r="http://schemas.openxmlformats.org/officeDocument/2006/relationships" name="Teams" sheetId="4" r:id="Rdc5bf26b175040a2"/>
    <x:sheet xmlns:r="http://schemas.openxmlformats.org/officeDocument/2006/relationships" name="Venues" sheetId="5" r:id="R22329761dfb94d23"/>
    <x:sheet xmlns:r="http://schemas.openxmlformats.org/officeDocument/2006/relationships" name="Fixture Builder" sheetId="6" r:id="R2662e0f04e2d4273"/>
    <x:sheet xmlns:r="http://schemas.openxmlformats.org/officeDocument/2006/relationships" name="Fixtures" sheetId="7" r:id="R91dbba5af52641ea"/>
    <x:sheet xmlns:r="http://schemas.openxmlformats.org/officeDocument/2006/relationships" name="Result Review" sheetId="8" r:id="R5bc6b97a49274a26"/>
    <x:sheet xmlns:r="http://schemas.openxmlformats.org/officeDocument/2006/relationships" name="Official Results" sheetId="9" r:id="R662c37f102094b87"/>
    <x:sheet xmlns:r="http://schemas.openxmlformats.org/officeDocument/2006/relationships" name="Standings" sheetId="10" r:id="R05ef6d2d8fa149e8"/>
    <x:sheet xmlns:r="http://schemas.openxmlformats.org/officeDocument/2006/relationships" name="Goal Scorers" sheetId="11" r:id="Rb87cf50c760d4d66"/>
    <x:sheet xmlns:r="http://schemas.openxmlformats.org/officeDocument/2006/relationships" name="Reports" sheetId="12" r:id="R95faa8e6397344bf"/>
    <x:sheet xmlns:r="http://schemas.openxmlformats.org/officeDocument/2006/relationships" name="Validation" sheetId="13" r:id="Rf5915be3dabf4568"/>
    <x:sheet xmlns:r="http://schemas.openxmlformats.org/officeDocument/2006/relationships" name="Lookups" sheetId="14" r:id="R120d1848fbc94c19"/>
    <x:sheet xmlns:r="http://schemas.openxmlformats.org/officeDocument/2006/relationships" name="Archive" sheetId="15" r:id="R655ab89ae9c549ec"/>
    <x:sheet xmlns:r="http://schemas.openxmlformats.org/officeDocument/2006/relationships" name="Example Data" sheetId="16" r:id="R65291c0a2d78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5">
    <x:font>
      <x:sz val="11"/>
      <x:name val="Carlito"/>
    </x:font>
    <x:font>
      <x:b/>
      <x:sz val="14"/>
      <x:color rgb="FF202124"/>
      <x:name val="Carlito"/>
    </x:font>
    <x:font>
      <x:b/>
      <x:sz val="11"/>
      <x:name val="Carlito"/>
    </x:font>
    <x:font>
      <x:b/>
      <x:sz val="10"/>
      <x:color rgb="FF202124"/>
      <x:name val="Arial"/>
    </x:font>
    <x:font>
      <x:sz val="10"/>
      <x:color rgb="FF20212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F1F3F4"/>
      </x:patternFill>
    </x:fill>
    <x:fill>
      <x:patternFill patternType="solid">
        <x:fgColor rgb="FFFFF7CC"/>
      </x:patternFill>
    </x:fill>
    <x:fill>
      <x:patternFill patternType="solid">
        <x:fgColor rgb="FFF8F9FA"/>
      </x:patternFill>
    </x:fill>
  </x:fills>
  <x:borders count="10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left style="thin">
        <x:color rgb="FFDADCE0"/>
      </x:left>
    </x:border>
    <x:border>
      <x:right style="thin">
        <x:color rgb="FFDADCE0"/>
      </x:right>
    </x:border>
    <x:border>
      <x:left style="thin">
        <x:color rgb="FFDADCE0"/>
      </x:left>
      <x:bottom style="thin">
        <x:color rgb="FFDADCE0"/>
      </x:bottom>
    </x:border>
    <x:border>
      <x:bottom style="thin">
        <x:color rgb="FFDADCE0"/>
      </x:bottom>
    </x:border>
    <x:border>
      <x:right style="thin">
        <x:color rgb="FFDADCE0"/>
      </x:right>
      <x:bottom style="thin">
        <x:color rgb="FFDADCE0"/>
      </x:bottom>
    </x:border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9" xfId="0" applyNumberFormat="1" applyFont="1" applyFill="1" applyBorder="1"/>
    <x:xf numFmtId="0" fontId="2" fillId="5" borderId="9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7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4" fillId="0" borderId="7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201" fontId="4" fillId="0" borderId="4" xfId="0" applyNumberFormat="1" applyFont="1" applyFill="1" applyBorder="1"/>
    <x:xf numFmtId="201" fontId="4" fillId="0" borderId="6" xfId="0" applyNumberFormat="1" applyFont="1" applyFill="1" applyBorder="1"/>
    <x:xf numFmtId="201" fontId="4" fillId="0" borderId="0" xfId="0" applyNumberFormat="1" applyFont="1" applyFill="1" applyBorder="1"/>
    <x:xf numFmtId="201" fontId="4" fillId="0" borderId="4" xfId="0" applyNumberFormat="1" applyFont="1" applyFill="1" applyBorder="1" applyAlignment="1">
      <x:alignment wrapText="1"/>
    </x:xf>
    <x:xf numFmtId="201" fontId="4" fillId="0" borderId="6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71f5e6adc4659" /><Relationship Type="http://schemas.openxmlformats.org/officeDocument/2006/relationships/theme" Target="/xl/theme/theme1.xml" Id="Rbcead6bf59fb43de" /><Relationship Type="http://schemas.openxmlformats.org/officeDocument/2006/relationships/sharedStrings" Target="/xl/sharedStrings.xml" Id="Rf602fb2763c74d09" /><Relationship Type="http://schemas.openxmlformats.org/officeDocument/2006/relationships/worksheet" Target="/xl/worksheets/sheet1.xml" Id="R99246b5455e4444d" /><Relationship Type="http://schemas.openxmlformats.org/officeDocument/2006/relationships/worksheet" Target="/xl/worksheets/sheet2.xml" Id="R5840a4284fe34b4e" /><Relationship Type="http://schemas.openxmlformats.org/officeDocument/2006/relationships/worksheet" Target="/xl/worksheets/sheet3.xml" Id="Rc2715d98d68f4e85" /><Relationship Type="http://schemas.openxmlformats.org/officeDocument/2006/relationships/worksheet" Target="/xl/worksheets/sheet4.xml" Id="Rdc5bf26b175040a2" /><Relationship Type="http://schemas.openxmlformats.org/officeDocument/2006/relationships/worksheet" Target="/xl/worksheets/sheet5.xml" Id="R22329761dfb94d23" /><Relationship Type="http://schemas.openxmlformats.org/officeDocument/2006/relationships/worksheet" Target="/xl/worksheets/sheet6.xml" Id="R2662e0f04e2d4273" /><Relationship Type="http://schemas.openxmlformats.org/officeDocument/2006/relationships/worksheet" Target="/xl/worksheets/sheet7.xml" Id="R91dbba5af52641ea" /><Relationship Type="http://schemas.openxmlformats.org/officeDocument/2006/relationships/worksheet" Target="/xl/worksheets/sheet8.xml" Id="R5bc6b97a49274a26" /><Relationship Type="http://schemas.openxmlformats.org/officeDocument/2006/relationships/worksheet" Target="/xl/worksheets/sheet9.xml" Id="R662c37f102094b87" /><Relationship Type="http://schemas.openxmlformats.org/officeDocument/2006/relationships/worksheet" Target="/xl/worksheets/sheet10.xml" Id="R05ef6d2d8fa149e8" /><Relationship Type="http://schemas.openxmlformats.org/officeDocument/2006/relationships/worksheet" Target="/xl/worksheets/sheet11.xml" Id="Rb87cf50c760d4d66" /><Relationship Type="http://schemas.openxmlformats.org/officeDocument/2006/relationships/worksheet" Target="/xl/worksheets/sheet12.xml" Id="R95faa8e6397344bf" /><Relationship Type="http://schemas.openxmlformats.org/officeDocument/2006/relationships/worksheet" Target="/xl/worksheets/sheet13.xml" Id="Rf5915be3dabf4568" /><Relationship Type="http://schemas.openxmlformats.org/officeDocument/2006/relationships/worksheet" Target="/xl/worksheets/sheet14.xml" Id="R120d1848fbc94c19" /><Relationship Type="http://schemas.openxmlformats.org/officeDocument/2006/relationships/worksheet" Target="/xl/worksheets/sheet15.xml" Id="R655ab89ae9c549ec" /><Relationship Type="http://schemas.openxmlformats.org/officeDocument/2006/relationships/worksheet" Target="/xl/worksheets/sheet16.xml" Id="R65291c0a2d784a08" /></Relationships>
</file>

<file path=xl/tables/table1.xml><?xml version="1.0" encoding="utf-8"?>
<x:table xmlns:x="http://schemas.openxmlformats.org/spreadsheetml/2006/main" id="1" name="StartHereSteps" displayName="StartHereSteps" ref="A4:D14" headerRowCount="1">
  <x:autoFilter ref="A4:D14"/>
  <x:tableColumns count="4">
    <x:tableColumn id="1" name="Step"/>
    <x:tableColumn id="2" name="Do This"/>
    <x:tableColumn id="3" name="Sheet"/>
    <x:tableColumn id="4" name="Notes"/>
  </x:tableColumns>
  <x:tableStyleInfo name="TableStyleLight1" showRowStripes="1"/>
</x:table>
</file>

<file path=xl/tables/table2.xml><?xml version="1.0" encoding="utf-8"?>
<x:table xmlns:x="http://schemas.openxmlformats.org/spreadsheetml/2006/main" id="2" name="SetupTable" displayName="SetupTable" ref="A4:C16" headerRowCount="1">
  <x:autoFilter ref="A4:C16"/>
  <x:tableColumns count="3">
    <x:tableColumn id="1" name="Setting"/>
    <x:tableColumn id="2" name="Value"/>
    <x:tableColumn id="3" name="Notes"/>
  </x:tableColumns>
  <x:tableStyleInfo name="TableStyleLight1" showRowStripes="1"/>
</x:table>
</file>

<file path=xl/tables/table3.xml><?xml version="1.0" encoding="utf-8"?>
<x:table xmlns:x="http://schemas.openxmlformats.org/spreadsheetml/2006/main" id="3" name="RulesTable" displayName="RulesTable" ref="A4:F20" headerRowCount="1">
  <x:autoFilter ref="A4:F20"/>
  <x:tableColumns count="6">
    <x:tableColumn id="1" name="Rule Area"/>
    <x:tableColumn id="2" name="Setting Name"/>
    <x:tableColumn id="3" name="Setting Value"/>
    <x:tableColumn id="4" name="Default Value"/>
    <x:tableColumn id="5" name="Editable By User"/>
    <x:tableColumn id="6" name="Notes"/>
  </x:tableColumns>
  <x:tableStyleInfo name="TableStyleLight1" showRowStripes="1"/>
</x:table>
</file>

<file path=xl/tables/table4.xml><?xml version="1.0" encoding="utf-8"?>
<x:table xmlns:x="http://schemas.openxmlformats.org/spreadsheetml/2006/main" id="4" name="TeamsTable" displayName="TeamsTable" ref="A4:H12" headerRowCount="1">
  <x:autoFilter ref="A4:H12"/>
  <x:tableColumns count="8">
    <x:tableColumn id="1" name="Team ID"/>
    <x:tableColumn id="2" name="Team Name"/>
    <x:tableColumn id="3" name="Display Name"/>
    <x:tableColumn id="4" name="Division/Group"/>
    <x:tableColumn id="5" name="Team Status"/>
    <x:tableColumn id="6" name="Contact/Notes"/>
    <x:tableColumn id="7" name="Sort Order"/>
    <x:tableColumn id="8" name="Validation Flag"/>
  </x:tableColumns>
  <x:tableStyleInfo name="TableStyleLight1" showRowStripes="1"/>
</x:table>
</file>

<file path=xl/tables/table5.xml><?xml version="1.0" encoding="utf-8"?>
<x:table xmlns:x="http://schemas.openxmlformats.org/spreadsheetml/2006/main" id="5" name="VenuesTable" displayName="VenuesTable" ref="A4:G8" headerRowCount="1">
  <x:autoFilter ref="A4:G8"/>
  <x:tableColumns count="7">
    <x:tableColumn id="1" name="Venue ID"/>
    <x:tableColumn id="2" name="Venue Name"/>
    <x:tableColumn id="3" name="Site/Facility"/>
    <x:tableColumn id="4" name="Pitch/Field"/>
    <x:tableColumn id="5" name="Location/Notes"/>
    <x:tableColumn id="6" name="Active/Inactive"/>
    <x:tableColumn id="7" name="Validation Flag"/>
  </x:tableColumns>
  <x:tableStyleInfo name="TableStyleLight1" showRowStripes="1"/>
</x:table>
</file>

<file path=xl/tables/table6.xml><?xml version="1.0" encoding="utf-8"?>
<x:table xmlns:x="http://schemas.openxmlformats.org/spreadsheetml/2006/main" id="6" name="FixtureBuilderInputs" displayName="FixtureBuilderInputs" ref="A4:C9" headerRowCount="1">
  <x:autoFilter ref="A4:C9"/>
  <x:tableColumns count="3">
    <x:tableColumn id="1" name="Input"/>
    <x:tableColumn id="2" name="Value"/>
    <x:tableColumn id="3" name="Notes"/>
  </x:tableColumns>
  <x:tableStyleInfo name="TableStyleLight1" showRowStripes="1"/>
</x:table>
</file>

<file path=xl/tables/table7.xml><?xml version="1.0" encoding="utf-8"?>
<x:table xmlns:x="http://schemas.openxmlformats.org/spreadsheetml/2006/main" id="7" name="FixtureBuilderShells" displayName="FixtureBuilderShells" ref="A12:G21" headerRowCount="1">
  <x:autoFilter ref="A12:G21"/>
  <x:tableColumns count="7">
    <x:tableColumn id="1" name="Mode"/>
    <x:tableColumn id="2" name="Division/Group"/>
    <x:tableColumn id="3" name="Round/Matchday"/>
    <x:tableColumn id="4" name="Home Team ID"/>
    <x:tableColumn id="5" name="Away Team ID"/>
    <x:tableColumn id="6" name="Target Fixture Row"/>
    <x:tableColumn id="7" name="Notes"/>
  </x:tableColumns>
  <x:tableStyleInfo name="TableStyleLight1" showRowStripes="1"/>
</x:table>
</file>

<file path=xl/tables/table8.xml><?xml version="1.0" encoding="utf-8"?>
<x:table xmlns:x="http://schemas.openxmlformats.org/spreadsheetml/2006/main" id="8" name="FixturesTable" displayName="FixturesTable" ref="A4:O16" headerRowCount="1">
  <x:autoFilter ref="A4:O16"/>
  <x:tableColumns count="15">
    <x:tableColumn id="1" name="Match ID"/>
    <x:tableColumn id="2" name="Division/Group"/>
    <x:tableColumn id="3" name="Round/Matchday"/>
    <x:tableColumn id="4" name="Home Team ID"/>
    <x:tableColumn id="5" name="Home Team Display"/>
    <x:tableColumn id="6" name="Away Team ID"/>
    <x:tableColumn id="7" name="Away Team Display"/>
    <x:tableColumn id="8" name="Scheduled Date"/>
    <x:tableColumn id="9" name="Scheduled Time"/>
    <x:tableColumn id="10" name="Venue ID"/>
    <x:tableColumn id="11" name="Venue Display"/>
    <x:tableColumn id="12" name="Fixture Status"/>
    <x:tableColumn id="13" name="Form Fixture Label"/>
    <x:tableColumn id="14" name="Include In Form Sync"/>
    <x:tableColumn id="15" name="Validation Flag"/>
  </x:tableColumns>
  <x:tableStyleInfo name="TableStyleLight1" showRowStripes="1"/>
</x:table>
</file>

<file path=xl/tables/table9.xml><?xml version="1.0" encoding="utf-8"?>
<x:table xmlns:x="http://schemas.openxmlformats.org/spreadsheetml/2006/main" id="9" name="ResultReviewTable" displayName="ResultReviewTable" ref="A4:AA12" headerRowCount="1">
  <x:autoFilter ref="A4:AA12"/>
  <x:tableColumns count="27">
    <x:tableColumn id="1" name="Submission Timestamp"/>
    <x:tableColumn id="2" name="Submission ID"/>
    <x:tableColumn id="3" name="Submission Type"/>
    <x:tableColumn id="4" name="Match ID"/>
    <x:tableColumn id="5" name="Fixture Label Submitted"/>
    <x:tableColumn id="6" name="Home Team Display"/>
    <x:tableColumn id="7" name="Away Team Display"/>
    <x:tableColumn id="8" name="Submitted Home Score"/>
    <x:tableColumn id="9" name="Submitted Away Score"/>
    <x:tableColumn id="10" name="Match Status"/>
    <x:tableColumn id="11" name="Walkover Winner Team ID"/>
    <x:tableColumn id="12" name="Match Date Played"/>
    <x:tableColumn id="13" name="Submitted By"/>
    <x:tableColumn id="14" name="Submitter Role"/>
    <x:tableColumn id="15" name="Notes"/>
    <x:tableColumn id="16" name="Optional Scorer Text"/>
    <x:tableColumn id="17" name="Evidence Link"/>
    <x:tableColumn id="18" name="Review Status"/>
    <x:tableColumn id="19" name="Approved Current Flag"/>
    <x:tableColumn id="20" name="Review Notes"/>
    <x:tableColumn id="21" name="Supersedes Submission ID"/>
    <x:tableColumn id="22" name="Manual Official Home Score Override"/>
    <x:tableColumn id="23" name="Manual Official Away Score Override"/>
    <x:tableColumn id="24" name="Official Home Score Calc"/>
    <x:tableColumn id="25" name="Official Away Score Calc"/>
    <x:tableColumn id="26" name="Counts In Standings Calc"/>
    <x:tableColumn id="27" name="Current Validation Flag"/>
  </x:tableColumns>
  <x:tableStyleInfo name="TableStyleLight1" showRowStripes="1"/>
</x:table>
</file>

<file path=xl/tables/table10.xml><?xml version="1.0" encoding="utf-8"?>
<x:table xmlns:x="http://schemas.openxmlformats.org/spreadsheetml/2006/main" id="10" name="OfficialResultsTable" displayName="OfficialResultsTable" ref="A4:O204" headerRowCount="1">
  <x:autoFilter ref="A4:O204"/>
  <x:tableColumns count="15">
    <x:tableColumn id="1" name="Match ID"/>
    <x:tableColumn id="2" name="Division/Group"/>
    <x:tableColumn id="3" name="Home Team ID"/>
    <x:tableColumn id="4" name="Home Team Display"/>
    <x:tableColumn id="5" name="Away Team ID"/>
    <x:tableColumn id="6" name="Away Team Display"/>
    <x:tableColumn id="7" name="Official Home Score"/>
    <x:tableColumn id="8" name="Official Away Score"/>
    <x:tableColumn id="9" name="Official Match Status"/>
    <x:tableColumn id="10" name="Walkover Winner Team ID"/>
    <x:tableColumn id="11" name="Counts In Standings"/>
    <x:tableColumn id="12" name="Match Date Played"/>
    <x:tableColumn id="13" name="Approved Submission ID"/>
    <x:tableColumn id="14" name="Approval Status"/>
    <x:tableColumn id="15" name="Result Source Notes"/>
  </x:tableColumns>
  <x:tableStyleInfo name="TableStyleLight1" showRowStripes="1"/>
</x:table>
</file>

<file path=xl/tables/table11.xml><?xml version="1.0" encoding="utf-8"?>
<x:table xmlns:x="http://schemas.openxmlformats.org/spreadsheetml/2006/main" id="11" name="StandingsTable" displayName="StandingsTable" ref="A4:P36" headerRowCount="1">
  <x:autoFilter ref="A4:P36"/>
  <x:tableColumns count="16">
    <x:tableColumn id="1" name="Division/Group"/>
    <x:tableColumn id="2" name="Rank"/>
    <x:tableColumn id="3" name="Team ID"/>
    <x:tableColumn id="4" name="Team Display"/>
    <x:tableColumn id="5" name="Played"/>
    <x:tableColumn id="6" name="Won"/>
    <x:tableColumn id="7" name="Drawn"/>
    <x:tableColumn id="8" name="Lost"/>
    <x:tableColumn id="9" name="Goals For"/>
    <x:tableColumn id="10" name="Goals Against"/>
    <x:tableColumn id="11" name="Goal Difference"/>
    <x:tableColumn id="12" name="Points"/>
    <x:tableColumn id="13" name="Tie-breaker 1 Value"/>
    <x:tableColumn id="14" name="Tie-breaker 2 Value"/>
    <x:tableColumn id="15" name="Tie-breaker 3 Value"/>
    <x:tableColumn id="16" name="Notes/Flags"/>
  </x:tableColumns>
  <x:tableStyleInfo name="TableStyleLight1" showRowStripes="1"/>
</x:table>
</file>

<file path=xl/tables/table12.xml><?xml version="1.0" encoding="utf-8"?>
<x:table xmlns:x="http://schemas.openxmlformats.org/spreadsheetml/2006/main" id="12" name="GoalScorersTable" displayName="GoalScorersTable" ref="A4:G8" headerRowCount="1">
  <x:autoFilter ref="A4:G8"/>
  <x:tableColumns count="7">
    <x:tableColumn id="1" name="Match ID"/>
    <x:tableColumn id="2" name="Team ID"/>
    <x:tableColumn id="3" name="Player Display Name"/>
    <x:tableColumn id="4" name="Shirt Number"/>
    <x:tableColumn id="5" name="Goals"/>
    <x:tableColumn id="6" name="Notes"/>
    <x:tableColumn id="7" name="Validation Flag"/>
  </x:tableColumns>
  <x:tableStyleInfo name="TableStyleLight1" showRowStripes="1"/>
</x:table>
</file>

<file path=xl/tables/table13.xml><?xml version="1.0" encoding="utf-8"?>
<x:table xmlns:x="http://schemas.openxmlformats.org/spreadsheetml/2006/main" id="13" name="ReportSummary" displayName="ReportSummary" ref="A4:C10" headerRowCount="1">
  <x:autoFilter ref="A4:C10"/>
  <x:tableColumns count="3">
    <x:tableColumn id="1" name="Metric"/>
    <x:tableColumn id="2" name="Value"/>
    <x:tableColumn id="3" name="Notes"/>
  </x:tableColumns>
  <x:tableStyleInfo name="TableStyleLight1" showRowStripes="1"/>
</x:table>
</file>

<file path=xl/tables/table14.xml><?xml version="1.0" encoding="utf-8"?>
<x:table xmlns:x="http://schemas.openxmlformats.org/spreadsheetml/2006/main" id="14" name="ReportStandings" displayName="ReportStandings" ref="A12:K44" headerRowCount="1">
  <x:autoFilter ref="A12:K44"/>
  <x:tableColumns count="11">
    <x:tableColumn id="1" name="Division/Group"/>
    <x:tableColumn id="2" name="Rank"/>
    <x:tableColumn id="3" name="Team"/>
    <x:tableColumn id="4" name="P"/>
    <x:tableColumn id="5" name="W"/>
    <x:tableColumn id="6" name="D"/>
    <x:tableColumn id="7" name="L"/>
    <x:tableColumn id="8" name="GF"/>
    <x:tableColumn id="9" name="GA"/>
    <x:tableColumn id="10" name="GD"/>
    <x:tableColumn id="11" name="Pts"/>
  </x:tableColumns>
  <x:tableStyleInfo name="TableStyleLight1" showRowStripes="1"/>
</x:table>
</file>

<file path=xl/tables/table15.xml><?xml version="1.0" encoding="utf-8"?>
<x:table xmlns:x="http://schemas.openxmlformats.org/spreadsheetml/2006/main" id="15" name="ValidationChecks" displayName="ValidationChecks" ref="A4:E15" headerRowCount="1">
  <x:autoFilter ref="A4:E15"/>
  <x:tableColumns count="5">
    <x:tableColumn id="1" name="Check ID"/>
    <x:tableColumn id="2" name="Area"/>
    <x:tableColumn id="3" name="Check"/>
    <x:tableColumn id="4" name="Status"/>
    <x:tableColumn id="5" name="Detail"/>
  </x:tableColumns>
  <x:tableStyleInfo name="TableStyleLight1" showRowStripes="1"/>
</x:table>
</file>

<file path=xl/tables/table16.xml><?xml version="1.0" encoding="utf-8"?>
<x:table xmlns:x="http://schemas.openxmlformats.org/spreadsheetml/2006/main" id="16" name="LookupsTable" displayName="LookupsTable" ref="A4:B28" headerRowCount="1">
  <x:autoFilter ref="A4:B28"/>
  <x:tableColumns count="2">
    <x:tableColumn id="1" name="List Name"/>
    <x:tableColumn id="2" name="Value"/>
  </x:tableColumns>
  <x:tableStyleInfo name="TableStyleLight1" showRowStripes="1"/>
</x:table>
</file>

<file path=xl/tables/table17.xml><?xml version="1.0" encoding="utf-8"?>
<x:table xmlns:x="http://schemas.openxmlformats.org/spreadsheetml/2006/main" id="17" name="ArchiveTable" displayName="ArchiveTable" ref="A4:I5" headerRowCount="1">
  <x:autoFilter ref="A4:I5"/>
  <x:tableColumns count="9">
    <x:tableColumn id="1" name="Archive ID"/>
    <x:tableColumn id="2" name="Archive Date"/>
    <x:tableColumn id="3" name="Competition ID"/>
    <x:tableColumn id="4" name="Competition Name"/>
    <x:tableColumn id="5" name="Snapshot Type"/>
    <x:tableColumn id="6" name="Division/Group"/>
    <x:tableColumn id="7" name="Export/Report Name"/>
    <x:tableColumn id="8" name="Version"/>
    <x:tableColumn id="9" name="Notes"/>
  </x:tableColumns>
  <x:tableStyleInfo name="TableStyleLight1" showRowStripes="1"/>
</x:table>
</file>

<file path=xl/tables/table18.xml><?xml version="1.0" encoding="utf-8"?>
<x:table xmlns:x="http://schemas.openxmlformats.org/spreadsheetml/2006/main" id="18" name="ExampleDataNotes" displayName="ExampleDataNotes" ref="A4:D9" headerRowCount="1">
  <x:autoFilter ref="A4:D9"/>
  <x:tableColumns count="4">
    <x:tableColumn id="1" name="Dataset"/>
    <x:tableColumn id="2" name="What It Demonstrates"/>
    <x:tableColumn id="3" name="Sheets Touched"/>
    <x:tableColumn id="4" name="Notes"/>
  </x:tableColumns>
  <x:tableStyleInfo name="TableStyleLight1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8811f5a95f42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6f3226259747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5a3f74d8c54f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aa9957ccaab40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ac298fd106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2c1d9e13774913" /><Relationship Type="http://schemas.openxmlformats.org/officeDocument/2006/relationships/table" Target="/xl/tables/table7.xml" Id="R1a5322ebc06e4f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f88621bf62948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e108c3a0b91c4d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ffe83eeafb1340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8c33793550a44e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80a0a3876444f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e08d45786f8943fe" /><Relationship Type="http://schemas.openxmlformats.org/officeDocument/2006/relationships/table" Target="/xl/tables/table14.xml" Id="R3a8da620686948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5da53d3b6ab040a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1df2b7419c4c446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7.xml" Id="R1d8b813f33fc467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8.xml" Id="R5ed3544f3181400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3.25" hidden="0" customWidth="1"/>
    <x:col min="2" max="2" width="34" hidden="0" customWidth="1"/>
    <x:col min="3" max="3" width="27.6299991607666" hidden="0" customWidth="1"/>
    <x:col min="4" max="4" width="63.75" hidden="0" customWidth="1"/>
  </x:cols>
  <x:sheetData>
    <x:row r="1" ht="15" hidden="0" customHeight="1">
      <x:c r="A1" s="47" t="str">
        <x:v>Competition Results &amp; Standings Manager</x:v>
      </x:c>
      <x:c r="B1" s="38"/>
      <x:c r="C1" s="38"/>
      <x:c r="D1" s="38"/>
    </x:row>
    <x:row r="2" ht="15" hidden="0" customHeight="1">
      <x:c r="A2" s="38" t="str">
        <x:v>v1.0 prototype skeleton for small football competition organisers/admins. Use the yellow input areas first; formula outputs should be protected in the live Google Sheet.</x:v>
      </x:c>
      <x:c r="B2" s="38"/>
      <x:c r="C2" s="38"/>
      <x:c r="D2" s="38"/>
    </x:row>
    <x:row r="3" ht="15" hidden="0" customHeight="1">
      <x:c r="A3" s="38"/>
      <x:c r="B3" s="38"/>
      <x:c r="C3" s="38"/>
      <x:c r="D3" s="38"/>
    </x:row>
    <x:row r="4" ht="15" hidden="0" customHeight="1">
      <x:c r="A4" s="39" t="str">
        <x:v>Step</x:v>
      </x:c>
      <x:c r="B4" s="40" t="str">
        <x:v>Do This</x:v>
      </x:c>
      <x:c r="C4" s="40" t="str">
        <x:v>Sheet</x:v>
      </x:c>
      <x:c r="D4" s="41" t="str">
        <x:v>Notes</x:v>
      </x:c>
    </x:row>
    <x:row r="5" ht="15" hidden="0" customHeight="1">
      <x:c r="A5" s="48" t="n">
        <x:v>1</x:v>
      </x:c>
      <x:c r="B5" s="38" t="str">
        <x:v>Complete competition setup.</x:v>
      </x:c>
      <x:c r="C5" s="38" t="str">
        <x:v>Setup</x:v>
      </x:c>
      <x:c r="D5" s="49" t="str">
        <x:v>Set competition name, season, timezone and date display assumptions.</x:v>
      </x:c>
    </x:row>
    <x:row r="6" ht="15" hidden="0" customHeight="1">
      <x:c r="A6" s="48" t="n">
        <x:v>2</x:v>
      </x:c>
      <x:c r="B6" s="38" t="str">
        <x:v>Confirm points, statuses and walkover rules.</x:v>
      </x:c>
      <x:c r="C6" s="38" t="str">
        <x:v>Rules</x:v>
      </x:c>
      <x:c r="D6" s="49" t="str">
        <x:v>Default football rules are 3 points for a win and a 3-0 configurable walkover.</x:v>
      </x:c>
    </x:row>
    <x:row r="7" ht="15" hidden="0" customHeight="1">
      <x:c r="A7" s="48" t="n">
        <x:v>3</x:v>
      </x:c>
      <x:c r="B7" s="38" t="str">
        <x:v>Enter teams and divisions/groups.</x:v>
      </x:c>
      <x:c r="C7" s="38" t="str">
        <x:v>Teams</x:v>
      </x:c>
      <x:c r="D7" s="49" t="str">
        <x:v>Team IDs should remain stable after fixtures are created.</x:v>
      </x:c>
    </x:row>
    <x:row r="8" ht="15" hidden="0" customHeight="1">
      <x:c r="A8" s="48" t="n">
        <x:v>4</x:v>
      </x:c>
      <x:c r="B8" s="38" t="str">
        <x:v>Enter venues or pitches.</x:v>
      </x:c>
      <x:c r="C8" s="38" t="str">
        <x:v>Venues</x:v>
      </x:c>
      <x:c r="D8" s="49" t="str">
        <x:v>Use venue IDs in Fixtures to avoid spelling drift.</x:v>
      </x:c>
    </x:row>
    <x:row r="9" ht="15" hidden="0" customHeight="1">
      <x:c r="A9" s="48" t="n">
        <x:v>5</x:v>
      </x:c>
      <x:c r="B9" s="38" t="str">
        <x:v>Create fixture shells.</x:v>
      </x:c>
      <x:c r="C9" s="38" t="str">
        <x:v>Fixture Builder</x:v>
      </x:c>
      <x:c r="D9" s="49" t="str">
        <x:v>Use league, group-stage, simple knockout or manual paths; Fixtures owns Match IDs.</x:v>
      </x:c>
    </x:row>
    <x:row r="10" ht="15" hidden="0" customHeight="1">
      <x:c r="A10" s="48" t="n">
        <x:v>6</x:v>
      </x:c>
      <x:c r="B10" s="38" t="str">
        <x:v>Confirm fixtures and Form Fixture Labels.</x:v>
      </x:c>
      <x:c r="C10" s="38" t="str">
        <x:v>Fixtures</x:v>
      </x:c>
      <x:c r="D10" s="49" t="str">
        <x:v>Labels are date-first for Google Form usability.</x:v>
      </x:c>
    </x:row>
    <x:row r="11" ht="15" hidden="0" customHeight="1">
      <x:c r="A11" s="48" t="n">
        <x:v>7</x:v>
      </x:c>
      <x:c r="B11" s="38" t="str">
        <x:v>Collect submissions through one form.</x:v>
      </x:c>
      <x:c r="C11" s="38" t="str">
        <x:v>Google Form</x:v>
      </x:c>
      <x:c r="D11" s="49" t="str">
        <x:v>The live Form was not creatable from this thread; see the local form spec.</x:v>
      </x:c>
    </x:row>
    <x:row r="12" ht="15" hidden="0" customHeight="1">
      <x:c r="A12" s="48" t="n">
        <x:v>8</x:v>
      </x:c>
      <x:c r="B12" s="38" t="str">
        <x:v>Review every submission.</x:v>
      </x:c>
      <x:c r="C12" s="38" t="str">
        <x:v>Result Review</x:v>
      </x:c>
      <x:c r="D12" s="49" t="str">
        <x:v>Approve exactly one current row per Match ID.</x:v>
      </x:c>
    </x:row>
    <x:row r="13" ht="15" hidden="0" customHeight="1">
      <x:c r="A13" s="48" t="n">
        <x:v>9</x:v>
      </x:c>
      <x:c r="B13" s="38" t="str">
        <x:v>Review official results, standings and reports.</x:v>
      </x:c>
      <x:c r="C13" s="38" t="str">
        <x:v>Official Results / Standings / Reports</x:v>
      </x:c>
      <x:c r="D13" s="49" t="str">
        <x:v>These outputs read only Approved Current rows.</x:v>
      </x:c>
    </x:row>
    <x:row r="14" ht="15" hidden="0" customHeight="1">
      <x:c r="A14" s="50" t="n">
        <x:v>10</x:v>
      </x:c>
      <x:c r="B14" s="51" t="str">
        <x:v>Archive completed outputs manually.</x:v>
      </x:c>
      <x:c r="C14" s="51" t="str">
        <x:v>Archive</x:v>
      </x:c>
      <x:c r="D14" s="52" t="str">
        <x:v>Manual snapshot process for v1.0.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8811f5a95f42b1"/>
  </x:tableParts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7.880001068115234" hidden="0" customWidth="1"/>
    <x:col min="2" max="2" width="27.75" hidden="0" customWidth="1"/>
    <x:col min="3" max="3" width="35.75" hidden="0" customWidth="1"/>
  </x:cols>
  <x:sheetData>
    <x:row r="1" ht="15" hidden="0" customHeight="1">
      <x:c r="A1" s="47" t="str">
        <x:v>Setup</x:v>
      </x:c>
      <x:c r="B1" s="38"/>
      <x:c r="C1" s="38"/>
    </x:row>
    <x:row r="2" ht="15" hidden="0" customHeight="1">
      <x:c r="A2" s="38" t="str">
        <x:v>Competition-level settings and tested-scope notes.</x:v>
      </x:c>
      <x:c r="B2" s="38"/>
      <x:c r="C2" s="38"/>
    </x:row>
    <x:row r="3" ht="15" hidden="0" customHeight="1">
      <x:c r="A3" s="38"/>
      <x:c r="B3" s="38"/>
      <x:c r="C3" s="38"/>
    </x:row>
    <x:row r="4" ht="15" hidden="0" customHeight="1">
      <x:c r="A4" s="39" t="str">
        <x:v>Setting</x:v>
      </x:c>
      <x:c r="B4" s="53" t="str">
        <x:v>Value</x:v>
      </x:c>
      <x:c r="C4" s="41" t="str">
        <x:v>Notes</x:v>
      </x:c>
    </x:row>
    <x:row r="5" ht="15" hidden="0" customHeight="1">
      <x:c r="A5" s="48" t="str">
        <x:v>Competition ID</x:v>
      </x:c>
      <x:c r="B5" s="55" t="str">
        <x:v>C001</x:v>
      </x:c>
      <x:c r="C5" s="49" t="str">
        <x:v>Optional stable ID for this competition copy.</x:v>
      </x:c>
    </x:row>
    <x:row r="6" ht="15" hidden="0" customHeight="1">
      <x:c r="A6" s="48" t="str">
        <x:v>Competition Name</x:v>
      </x:c>
      <x:c r="B6" s="55" t="str">
        <x:v>Example Community Cup</x:v>
      </x:c>
      <x:c r="C6" s="49" t="str">
        <x:v>User-editable.</x:v>
      </x:c>
    </x:row>
    <x:row r="7" ht="15" hidden="0" customHeight="1">
      <x:c r="A7" s="48" t="str">
        <x:v>Season/Tournament Label</x:v>
      </x:c>
      <x:c r="B7" s="55" t="str">
        <x:v>July 2026 Demo</x:v>
      </x:c>
      <x:c r="C7" s="49" t="str">
        <x:v>User-editable.</x:v>
      </x:c>
    </x:row>
    <x:row r="8" ht="15" hidden="0" customHeight="1">
      <x:c r="A8" s="48" t="str">
        <x:v>Organiser Name</x:v>
      </x:c>
      <x:c r="B8" s="55" t="str">
        <x:v>Demo Organiser</x:v>
      </x:c>
      <x:c r="C8" s="49" t="str">
        <x:v>User-editable.</x:v>
      </x:c>
    </x:row>
    <x:row r="9" ht="15" hidden="0" customHeight="1">
      <x:c r="A9" s="48" t="str">
        <x:v>Default Timezone</x:v>
      </x:c>
      <x:c r="B9" s="55" t="str">
        <x:v>Africa/Kampala</x:v>
      </x:c>
      <x:c r="C9" s="49" t="str">
        <x:v>Configurable; keep visible in reports.</x:v>
      </x:c>
    </x:row>
    <x:row r="10" ht="15" hidden="0" customHeight="1">
      <x:c r="A10" s="48" t="str">
        <x:v>Date Display Format</x:v>
      </x:c>
      <x:c r="B10" s="55" t="str">
        <x:v>yyyy-mm-dd</x:v>
      </x:c>
      <x:c r="C10" s="49" t="str">
        <x:v>Internal dates should remain sortable.</x:v>
      </x:c>
    </x:row>
    <x:row r="11" ht="15" hidden="0" customHeight="1">
      <x:c r="A11" s="48" t="str">
        <x:v>Time Display Format</x:v>
      </x:c>
      <x:c r="B11" s="55" t="str">
        <x:v>hh:mm</x:v>
      </x:c>
      <x:c r="C11" s="49" t="str">
        <x:v>Use local competition convention.</x:v>
      </x:c>
    </x:row>
    <x:row r="12" ht="15" hidden="0" customHeight="1">
      <x:c r="A12" s="48" t="str">
        <x:v>Default Venue ID</x:v>
      </x:c>
      <x:c r="B12" s="55" t="str">
        <x:v>V001</x:v>
      </x:c>
      <x:c r="C12" s="49" t="str">
        <x:v>Fixtures can override by row.</x:v>
      </x:c>
    </x:row>
    <x:row r="13" ht="15" hidden="0" customHeight="1">
      <x:c r="A13" s="48" t="str">
        <x:v>Tested Team Limit Note</x:v>
      </x:c>
      <x:c r="B13" s="55" t="str">
        <x:v>Self-service range: 4 to 32 teams</x:v>
      </x:c>
      <x:c r="C13" s="49" t="str">
        <x:v>Do not market beyond tested range without QA.</x:v>
      </x:c>
    </x:row>
    <x:row r="14" ht="15" hidden="0" customHeight="1">
      <x:c r="A14" s="48" t="str">
        <x:v>Tested Fixture Limit Note</x:v>
      </x:c>
      <x:c r="B14" s="55" t="str">
        <x:v>Self-service range: up to 200 fixtures</x:v>
      </x:c>
      <x:c r="C14" s="49" t="str">
        <x:v>Keep Form choices manageable.</x:v>
      </x:c>
    </x:row>
    <x:row r="15" ht="15" hidden="0" customHeight="1">
      <x:c r="A15" s="48" t="str">
        <x:v>Version</x:v>
      </x:c>
      <x:c r="B15" s="55" t="str">
        <x:v>0.1.0-prototype</x:v>
      </x:c>
      <x:c r="C15" s="49" t="str">
        <x:v>Prototype skeleton, not release candidate.</x:v>
      </x:c>
    </x:row>
    <x:row r="16" ht="15" hidden="0" customHeight="1">
      <x:c r="A16" s="50" t="str">
        <x:v>Last Updated</x:v>
      </x:c>
      <x:c r="B16" s="51" t="str">
        <x:v>2026-06-24</x:v>
      </x:c>
      <x:c r="C16" s="52" t="str">
        <x:v>Generated from local repo blueprint.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66f32262597474b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.130001068115234" hidden="0" customWidth="1"/>
    <x:col min="2" max="2" width="27.6299991607666" hidden="0" customWidth="1"/>
    <x:col min="3" max="3" width="13.5" hidden="0" customWidth="1"/>
    <x:col min="4" max="4" width="13.5" hidden="0" customWidth="1"/>
    <x:col min="5" max="5" width="16.25" hidden="0" customWidth="1"/>
    <x:col min="6" max="6" width="45.630001068115234" hidden="0" customWidth="1"/>
  </x:cols>
  <x:sheetData>
    <x:row r="1" ht="15" hidden="0" customHeight="1">
      <x:c r="A1" s="47" t="str">
        <x:v>Rules</x:v>
      </x:c>
      <x:c r="B1" s="38"/>
      <x:c r="C1" s="38"/>
      <x:c r="D1" s="38"/>
      <x:c r="E1" s="38"/>
      <x:c r="F1" s="38"/>
    </x:row>
    <x:row r="2" ht="15" hidden="0" customHeight="1">
      <x:c r="A2" s="38" t="str">
        <x:v>Editable football rules, status handling and local-rule notes.</x:v>
      </x:c>
      <x:c r="B2" s="38"/>
      <x:c r="C2" s="38"/>
      <x:c r="D2" s="38"/>
      <x:c r="E2" s="38"/>
      <x:c r="F2" s="38"/>
    </x:row>
    <x:row r="3" ht="15" hidden="0" customHeight="1">
      <x:c r="A3" s="38"/>
      <x:c r="B3" s="38"/>
      <x:c r="C3" s="38"/>
      <x:c r="D3" s="38"/>
      <x:c r="E3" s="38"/>
      <x:c r="F3" s="38"/>
    </x:row>
    <x:row r="4" ht="15" hidden="0" customHeight="1">
      <x:c r="A4" s="39" t="str">
        <x:v>Rule Area</x:v>
      </x:c>
      <x:c r="B4" s="40" t="str">
        <x:v>Setting Name</x:v>
      </x:c>
      <x:c r="C4" s="40" t="str">
        <x:v>Setting Value</x:v>
      </x:c>
      <x:c r="D4" s="40" t="str">
        <x:v>Default Value</x:v>
      </x:c>
      <x:c r="E4" s="40" t="str">
        <x:v>Editable By User</x:v>
      </x:c>
      <x:c r="F4" s="41" t="str">
        <x:v>Notes</x:v>
      </x:c>
    </x:row>
    <x:row r="5" ht="15" hidden="0" customHeight="1">
      <x:c r="A5" s="48" t="str">
        <x:v>Points</x:v>
      </x:c>
      <x:c r="B5" s="38" t="str">
        <x:v>Points for Win</x:v>
      </x:c>
      <x:c r="C5" s="55" t="n">
        <x:v>3</x:v>
      </x:c>
      <x:c r="D5" s="38" t="n">
        <x:v>3</x:v>
      </x:c>
      <x:c r="E5" s="38" t="str">
        <x:v>Yes</x:v>
      </x:c>
      <x:c r="F5" s="49" t="str">
        <x:v>Used by Standings formulas.</x:v>
      </x:c>
    </x:row>
    <x:row r="6" ht="15" hidden="0" customHeight="1">
      <x:c r="A6" s="48" t="str">
        <x:v>Points</x:v>
      </x:c>
      <x:c r="B6" s="38" t="str">
        <x:v>Points for Draw</x:v>
      </x:c>
      <x:c r="C6" s="55" t="n">
        <x:v>1</x:v>
      </x:c>
      <x:c r="D6" s="38" t="n">
        <x:v>1</x:v>
      </x:c>
      <x:c r="E6" s="38" t="str">
        <x:v>Yes</x:v>
      </x:c>
      <x:c r="F6" s="49" t="str">
        <x:v>Used by Standings formulas.</x:v>
      </x:c>
    </x:row>
    <x:row r="7" ht="15" hidden="0" customHeight="1">
      <x:c r="A7" s="48" t="str">
        <x:v>Points</x:v>
      </x:c>
      <x:c r="B7" s="38" t="str">
        <x:v>Points for Loss</x:v>
      </x:c>
      <x:c r="C7" s="55" t="n">
        <x:v>0</x:v>
      </x:c>
      <x:c r="D7" s="38" t="n">
        <x:v>0</x:v>
      </x:c>
      <x:c r="E7" s="38" t="str">
        <x:v>Yes</x:v>
      </x:c>
      <x:c r="F7" s="49" t="str">
        <x:v>Used by Standings formulas.</x:v>
      </x:c>
    </x:row>
    <x:row r="8" ht="15" hidden="0" customHeight="1">
      <x:c r="A8" s="48" t="str">
        <x:v>Tie-breaker</x:v>
      </x:c>
      <x:c r="B8" s="38" t="str">
        <x:v>Tie-breaker 1</x:v>
      </x:c>
      <x:c r="C8" s="55" t="str">
        <x:v>Points</x:v>
      </x:c>
      <x:c r="D8" s="38" t="str">
        <x:v>Points</x:v>
      </x:c>
      <x:c r="E8" s="38" t="str">
        <x:v>Limited</x:v>
      </x:c>
      <x:c r="F8" s="49" t="str">
        <x:v>Default sort order only; head-to-head excluded in v1.0.</x:v>
      </x:c>
    </x:row>
    <x:row r="9" ht="15" hidden="0" customHeight="1">
      <x:c r="A9" s="48" t="str">
        <x:v>Tie-breaker</x:v>
      </x:c>
      <x:c r="B9" s="38" t="str">
        <x:v>Tie-breaker 2</x:v>
      </x:c>
      <x:c r="C9" s="55" t="str">
        <x:v>Goal Difference</x:v>
      </x:c>
      <x:c r="D9" s="38" t="str">
        <x:v>Goal Difference</x:v>
      </x:c>
      <x:c r="E9" s="38" t="str">
        <x:v>Limited</x:v>
      </x:c>
      <x:c r="F9" s="49" t="str"/>
    </x:row>
    <x:row r="10" ht="15" hidden="0" customHeight="1">
      <x:c r="A10" s="48" t="str">
        <x:v>Tie-breaker</x:v>
      </x:c>
      <x:c r="B10" s="38" t="str">
        <x:v>Tie-breaker 3</x:v>
      </x:c>
      <x:c r="C10" s="55" t="str">
        <x:v>Goals For</x:v>
      </x:c>
      <x:c r="D10" s="38" t="str">
        <x:v>Goals For</x:v>
      </x:c>
      <x:c r="E10" s="38" t="str">
        <x:v>Limited</x:v>
      </x:c>
      <x:c r="F10" s="49" t="str"/>
    </x:row>
    <x:row r="11" ht="15" hidden="0" customHeight="1">
      <x:c r="A11" s="48" t="str">
        <x:v>Tie-breaker</x:v>
      </x:c>
      <x:c r="B11" s="38" t="str">
        <x:v>Tie-breaker 4</x:v>
      </x:c>
      <x:c r="C11" s="55" t="str">
        <x:v>Team Name</x:v>
      </x:c>
      <x:c r="D11" s="38" t="str">
        <x:v>Team Name</x:v>
      </x:c>
      <x:c r="E11" s="38" t="str">
        <x:v>Limited</x:v>
      </x:c>
      <x:c r="F11" s="49" t="str"/>
    </x:row>
    <x:row r="12" ht="15" hidden="0" customHeight="1">
      <x:c r="A12" s="48" t="str">
        <x:v>Walkover</x:v>
      </x:c>
      <x:c r="B12" s="38" t="str">
        <x:v>Walkover Goals For Winner</x:v>
      </x:c>
      <x:c r="C12" s="55" t="n">
        <x:v>3</x:v>
      </x:c>
      <x:c r="D12" s="38" t="n">
        <x:v>3</x:v>
      </x:c>
      <x:c r="E12" s="38" t="str">
        <x:v>Yes</x:v>
      </x:c>
      <x:c r="F12" s="49" t="str">
        <x:v>Default common football convention; local rules can override.</x:v>
      </x:c>
    </x:row>
    <x:row r="13" ht="15" hidden="0" customHeight="1">
      <x:c r="A13" s="48" t="str">
        <x:v>Walkover</x:v>
      </x:c>
      <x:c r="B13" s="38" t="str">
        <x:v>Walkover Goals Against Loser</x:v>
      </x:c>
      <x:c r="C13" s="55" t="n">
        <x:v>0</x:v>
      </x:c>
      <x:c r="D13" s="38" t="n">
        <x:v>0</x:v>
      </x:c>
      <x:c r="E13" s="38" t="str">
        <x:v>Yes</x:v>
      </x:c>
      <x:c r="F13" s="49" t="str">
        <x:v>Default common football convention; local rules can override.</x:v>
      </x:c>
    </x:row>
    <x:row r="14" ht="15" hidden="0" customHeight="1">
      <x:c r="A14" s="48" t="str">
        <x:v>Walkover</x:v>
      </x:c>
      <x:c r="B14" s="38" t="str">
        <x:v>Count Walkover Goals In GF/GA/GD</x:v>
      </x:c>
      <x:c r="C14" s="55" t="str">
        <x:v>Yes</x:v>
      </x:c>
      <x:c r="D14" s="38" t="str">
        <x:v>Yes</x:v>
      </x:c>
      <x:c r="E14" s="38" t="str">
        <x:v>Yes</x:v>
      </x:c>
      <x:c r="F14" s="49" t="str">
        <x:v>If No, review rows need manual score override notes.</x:v>
      </x:c>
    </x:row>
    <x:row r="15" ht="15" hidden="0" customHeight="1">
      <x:c r="A15" s="48" t="str">
        <x:v>Walkover</x:v>
      </x:c>
      <x:c r="B15" s="38" t="str">
        <x:v>Allow Manual Walkover Override</x:v>
      </x:c>
      <x:c r="C15" s="55" t="str">
        <x:v>Yes</x:v>
      </x:c>
      <x:c r="D15" s="38" t="str">
        <x:v>Yes</x:v>
      </x:c>
      <x:c r="E15" s="38" t="str">
        <x:v>Yes</x:v>
      </x:c>
      <x:c r="F15" s="49" t="str">
        <x:v>Use Result Review override columns and notes.</x:v>
      </x:c>
    </x:row>
    <x:row r="16" ht="15" hidden="0" customHeight="1">
      <x:c r="A16" s="48" t="str">
        <x:v>Status</x:v>
      </x:c>
      <x:c r="B16" s="38" t="str">
        <x:v>Played Counts In Standings</x:v>
      </x:c>
      <x:c r="C16" s="55" t="str">
        <x:v>Yes</x:v>
      </x:c>
      <x:c r="D16" s="38" t="str">
        <x:v>Yes</x:v>
      </x:c>
      <x:c r="E16" s="38" t="str">
        <x:v>No</x:v>
      </x:c>
      <x:c r="F16" s="49" t="str"/>
    </x:row>
    <x:row r="17" ht="15" hidden="0" customHeight="1">
      <x:c r="A17" s="48" t="str">
        <x:v>Status</x:v>
      </x:c>
      <x:c r="B17" s="38" t="str">
        <x:v>Walkover Counts In Standings</x:v>
      </x:c>
      <x:c r="C17" s="55" t="str">
        <x:v>Yes</x:v>
      </x:c>
      <x:c r="D17" s="38" t="str">
        <x:v>Yes</x:v>
      </x:c>
      <x:c r="E17" s="38" t="str">
        <x:v>No</x:v>
      </x:c>
      <x:c r="F17" s="49" t="str"/>
    </x:row>
    <x:row r="18" ht="15" hidden="0" customHeight="1">
      <x:c r="A18" s="48" t="str">
        <x:v>Status</x:v>
      </x:c>
      <x:c r="B18" s="38" t="str">
        <x:v>Postponed Counts In Standings</x:v>
      </x:c>
      <x:c r="C18" s="55" t="str">
        <x:v>No</x:v>
      </x:c>
      <x:c r="D18" s="38" t="str">
        <x:v>No</x:v>
      </x:c>
      <x:c r="E18" s="38" t="str">
        <x:v>No</x:v>
      </x:c>
      <x:c r="F18" s="49" t="str"/>
    </x:row>
    <x:row r="19" ht="15" hidden="0" customHeight="1">
      <x:c r="A19" s="48" t="str">
        <x:v>Status</x:v>
      </x:c>
      <x:c r="B19" s="38" t="str">
        <x:v>Void Counts In Standings</x:v>
      </x:c>
      <x:c r="C19" s="55" t="str">
        <x:v>No</x:v>
      </x:c>
      <x:c r="D19" s="38" t="str">
        <x:v>No</x:v>
      </x:c>
      <x:c r="E19" s="38" t="str">
        <x:v>No</x:v>
      </x:c>
      <x:c r="F19" s="49" t="str"/>
    </x:row>
    <x:row r="20" ht="15" hidden="0" customHeight="1">
      <x:c r="A20" s="50" t="str">
        <x:v>Status</x:v>
      </x:c>
      <x:c r="B20" s="51" t="str">
        <x:v>Abandoned Counts In Standings</x:v>
      </x:c>
      <x:c r="C20" s="57" t="str">
        <x:v>No</x:v>
      </x:c>
      <x:c r="D20" s="51" t="str">
        <x:v>No</x:v>
      </x:c>
      <x:c r="E20" s="51" t="str">
        <x:v>No</x:v>
      </x:c>
      <x:c r="F20" s="52" t="str">
        <x:v>Review-only until organiser decides final treatment.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55a3f74d8c54fac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9" hidden="0" customWidth="1"/>
    <x:col min="2" max="2" width="14.380000114440918" hidden="0" customWidth="1"/>
    <x:col min="3" max="3" width="14" hidden="0" customWidth="1"/>
    <x:col min="4" max="4" width="15" hidden="0" customWidth="1"/>
    <x:col min="5" max="5" width="12.880000114440918" hidden="0" customWidth="1"/>
    <x:col min="6" max="6" width="14.380000114440918" hidden="0" customWidth="1"/>
    <x:col min="7" max="7" width="11.380000114440918" hidden="0" customWidth="1"/>
    <x:col min="8" max="8" width="14.880000114440918" hidden="0" customWidth="1"/>
  </x:cols>
  <x:sheetData>
    <x:row r="1" ht="15" hidden="0" customHeight="1">
      <x:c r="A1" s="47" t="str">
        <x:v>Teams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8" t="str">
        <x:v>Stable Team IDs, team names and divisions/groups.</x:v>
      </x:c>
      <x:c r="B2" s="38"/>
      <x:c r="C2" s="38"/>
      <x:c r="D2" s="38"/>
      <x:c r="E2" s="38"/>
      <x:c r="F2" s="38"/>
      <x:c r="G2" s="38"/>
      <x:c r="H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</x:row>
    <x:row r="4" ht="15" hidden="0" customHeight="1">
      <x:c r="A4" s="39" t="str">
        <x:v>Team ID</x:v>
      </x:c>
      <x:c r="B4" s="40" t="str">
        <x:v>Team Name</x:v>
      </x:c>
      <x:c r="C4" s="40" t="str">
        <x:v>Display Name</x:v>
      </x:c>
      <x:c r="D4" s="40" t="str">
        <x:v>Division/Group</x:v>
      </x:c>
      <x:c r="E4" s="40" t="str">
        <x:v>Team Status</x:v>
      </x:c>
      <x:c r="F4" s="40" t="str">
        <x:v>Contact/Notes</x:v>
      </x:c>
      <x:c r="G4" s="40" t="str">
        <x:v>Sort Order</x:v>
      </x:c>
      <x:c r="H4" s="41" t="str">
        <x:v>Validation Flag</x:v>
      </x:c>
    </x:row>
    <x:row r="5" ht="15" hidden="0" customHeight="1">
      <x:c r="A5" s="48" t="str">
        <x:v>T001</x:v>
      </x:c>
      <x:c r="B5" s="38" t="str">
        <x:v>River Park FC</x:v>
      </x:c>
      <x:c r="C5" s="38" t="str">
        <x:v>River Park</x:v>
      </x:c>
      <x:c r="D5" s="38" t="str">
        <x:v>Group A</x:v>
      </x:c>
      <x:c r="E5" s="38" t="str">
        <x:v>Active</x:v>
      </x:c>
      <x:c r="F5" s="38" t="str"/>
      <x:c r="G5" s="38" t="n">
        <x:v>1</x:v>
      </x:c>
      <x:c r="H5" s="49" t="str">
        <x:f>IF(A5="","",IF(COUNTIF($A$5:$A$36,A5)&gt;1,"Duplicate Team ID",IF(OR(B5="",C5="",D5=""),"Missing required field","OK")))</x:f>
        <x:v>OK</x:v>
      </x:c>
    </x:row>
    <x:row r="6" ht="15" hidden="0" customHeight="1">
      <x:c r="A6" s="48" t="str">
        <x:v>T002</x:v>
      </x:c>
      <x:c r="B6" s="38" t="str">
        <x:v>Lakeside United</x:v>
      </x:c>
      <x:c r="C6" s="38" t="str">
        <x:v>Lakeside</x:v>
      </x:c>
      <x:c r="D6" s="38" t="str">
        <x:v>Group A</x:v>
      </x:c>
      <x:c r="E6" s="38" t="str">
        <x:v>Active</x:v>
      </x:c>
      <x:c r="F6" s="38" t="str"/>
      <x:c r="G6" s="38" t="n">
        <x:v>2</x:v>
      </x:c>
      <x:c r="H6" s="49" t="str">
        <x:f>IF(A6="","",IF(COUNTIF($A$5:$A$36,A6)&gt;1,"Duplicate Team ID",IF(OR(B6="",C6="",D6=""),"Missing required field","OK")))</x:f>
        <x:v>OK</x:v>
      </x:c>
    </x:row>
    <x:row r="7" ht="15" hidden="0" customHeight="1">
      <x:c r="A7" s="48" t="str">
        <x:v>T003</x:v>
      </x:c>
      <x:c r="B7" s="38" t="str">
        <x:v>Hillview Academy</x:v>
      </x:c>
      <x:c r="C7" s="38" t="str">
        <x:v>Hillview</x:v>
      </x:c>
      <x:c r="D7" s="38" t="str">
        <x:v>Group A</x:v>
      </x:c>
      <x:c r="E7" s="38" t="str">
        <x:v>Active</x:v>
      </x:c>
      <x:c r="F7" s="38" t="str"/>
      <x:c r="G7" s="38" t="n">
        <x:v>3</x:v>
      </x:c>
      <x:c r="H7" s="49" t="str">
        <x:f>IF(A7="","",IF(COUNTIF($A$5:$A$36,A7)&gt;1,"Duplicate Team ID",IF(OR(B7="",C7="",D7=""),"Missing required field","OK")))</x:f>
        <x:v>OK</x:v>
      </x:c>
    </x:row>
    <x:row r="8" ht="15" hidden="0" customHeight="1">
      <x:c r="A8" s="48" t="str">
        <x:v>T004</x:v>
      </x:c>
      <x:c r="B8" s="38" t="str">
        <x:v>Central Stars</x:v>
      </x:c>
      <x:c r="C8" s="38" t="str">
        <x:v>Central Stars</x:v>
      </x:c>
      <x:c r="D8" s="38" t="str">
        <x:v>Group A</x:v>
      </x:c>
      <x:c r="E8" s="38" t="str">
        <x:v>Active</x:v>
      </x:c>
      <x:c r="F8" s="38" t="str"/>
      <x:c r="G8" s="38" t="n">
        <x:v>4</x:v>
      </x:c>
      <x:c r="H8" s="49" t="str">
        <x:f>IF(A8="","",IF(COUNTIF($A$5:$A$36,A8)&gt;1,"Duplicate Team ID",IF(OR(B8="",C8="",D8=""),"Missing required field","OK")))</x:f>
        <x:v>OK</x:v>
      </x:c>
    </x:row>
    <x:row r="9" ht="15" hidden="0" customHeight="1">
      <x:c r="A9" s="48" t="str">
        <x:v>T005</x:v>
      </x:c>
      <x:c r="B9" s="38" t="str">
        <x:v>North End Juniors</x:v>
      </x:c>
      <x:c r="C9" s="38" t="str">
        <x:v>North End</x:v>
      </x:c>
      <x:c r="D9" s="38" t="str">
        <x:v>Group B</x:v>
      </x:c>
      <x:c r="E9" s="38" t="str">
        <x:v>Active</x:v>
      </x:c>
      <x:c r="F9" s="38" t="str"/>
      <x:c r="G9" s="38" t="n">
        <x:v>5</x:v>
      </x:c>
      <x:c r="H9" s="49" t="str">
        <x:f>IF(A9="","",IF(COUNTIF($A$5:$A$36,A9)&gt;1,"Duplicate Team ID",IF(OR(B9="",C9="",D9=""),"Missing required field","OK")))</x:f>
        <x:v>OK</x:v>
      </x:c>
    </x:row>
    <x:row r="10" ht="15" hidden="0" customHeight="1">
      <x:c r="A10" s="48" t="str">
        <x:v>T006</x:v>
      </x:c>
      <x:c r="B10" s="38" t="str">
        <x:v>Metro Rangers</x:v>
      </x:c>
      <x:c r="C10" s="38" t="str">
        <x:v>Metro Rangers</x:v>
      </x:c>
      <x:c r="D10" s="38" t="str">
        <x:v>Group B</x:v>
      </x:c>
      <x:c r="E10" s="38" t="str">
        <x:v>Active</x:v>
      </x:c>
      <x:c r="F10" s="38" t="str"/>
      <x:c r="G10" s="38" t="n">
        <x:v>6</x:v>
      </x:c>
      <x:c r="H10" s="49" t="str">
        <x:f>IF(A10="","",IF(COUNTIF($A$5:$A$36,A10)&gt;1,"Duplicate Team ID",IF(OR(B10="",C10="",D10=""),"Missing required field","OK")))</x:f>
        <x:v>OK</x:v>
      </x:c>
    </x:row>
    <x:row r="11" ht="15" hidden="0" customHeight="1">
      <x:c r="A11" s="48" t="str">
        <x:v>T007</x:v>
      </x:c>
      <x:c r="B11" s="38" t="str">
        <x:v>Eastside Colts</x:v>
      </x:c>
      <x:c r="C11" s="38" t="str">
        <x:v>Eastside</x:v>
      </x:c>
      <x:c r="D11" s="38" t="str">
        <x:v>Group B</x:v>
      </x:c>
      <x:c r="E11" s="38" t="str">
        <x:v>Active</x:v>
      </x:c>
      <x:c r="F11" s="38" t="str"/>
      <x:c r="G11" s="38" t="n">
        <x:v>7</x:v>
      </x:c>
      <x:c r="H11" s="49" t="str">
        <x:f>IF(A11="","",IF(COUNTIF($A$5:$A$36,A11)&gt;1,"Duplicate Team ID",IF(OR(B11="",C11="",D11=""),"Missing required field","OK")))</x:f>
        <x:v>OK</x:v>
      </x:c>
    </x:row>
    <x:row r="12" ht="15" hidden="0" customHeight="1">
      <x:c r="A12" s="50" t="str">
        <x:v>T008</x:v>
      </x:c>
      <x:c r="B12" s="51" t="str">
        <x:v>Westbrook Athletic</x:v>
      </x:c>
      <x:c r="C12" s="51" t="str">
        <x:v>Westbrook</x:v>
      </x:c>
      <x:c r="D12" s="51" t="str">
        <x:v>Group B</x:v>
      </x:c>
      <x:c r="E12" s="51" t="str">
        <x:v>Active</x:v>
      </x:c>
      <x:c r="F12" s="51" t="str"/>
      <x:c r="G12" s="51" t="n">
        <x:v>8</x:v>
      </x:c>
      <x:c r="H12" s="52" t="str">
        <x:f>IF(A12="","",IF(COUNTIF($A$5:$A$36,A12)&gt;1,"Duplicate Team ID",IF(OR(B12="",C12="",D12=""),"Missing required field","OK")))</x:f>
        <x:v>OK</x:v>
      </x:c>
    </x:row>
    <x:row r="13" ht="15" hidden="0" customHeight="1">
      <x:c r="A13" s="38"/>
      <x:c r="B13" s="38"/>
      <x:c r="C13" s="38"/>
      <x:c r="D13" s="38"/>
      <x:c r="E13" s="38"/>
      <x:c r="F13" s="38"/>
      <x:c r="G13" s="38"/>
      <x:c r="H13" s="38" t="str">
        <x:f>IF(A13="","",IF(COUNTIF($A$5:$A$36,A13)&gt;1,"Duplicate Team ID",IF(OR(B13="",C13="",D13=""),"Missing required field","OK")))</x:f>
      </x:c>
    </x:row>
    <x:row r="14" ht="15" hidden="0" customHeight="1">
      <x:c r="A14" s="38"/>
      <x:c r="B14" s="38"/>
      <x:c r="C14" s="38"/>
      <x:c r="D14" s="38"/>
      <x:c r="E14" s="38"/>
      <x:c r="F14" s="38"/>
      <x:c r="G14" s="38"/>
      <x:c r="H14" s="38" t="str">
        <x:f>IF(A14="","",IF(COUNTIF($A$5:$A$36,A14)&gt;1,"Duplicate Team ID",IF(OR(B14="",C14="",D14=""),"Missing required field","OK")))</x:f>
      </x:c>
    </x:row>
    <x:row r="15" ht="15" hidden="0" customHeight="1">
      <x:c r="A15" s="38"/>
      <x:c r="B15" s="38"/>
      <x:c r="C15" s="38"/>
      <x:c r="D15" s="38"/>
      <x:c r="E15" s="38"/>
      <x:c r="F15" s="38"/>
      <x:c r="G15" s="38"/>
      <x:c r="H15" s="38" t="str">
        <x:f>IF(A15="","",IF(COUNTIF($A$5:$A$36,A15)&gt;1,"Duplicate Team ID",IF(OR(B15="",C15="",D15=""),"Missing required field","OK")))</x:f>
      </x:c>
    </x:row>
    <x:row r="16" ht="15" hidden="0" customHeight="1">
      <x:c r="A16" s="38"/>
      <x:c r="B16" s="38"/>
      <x:c r="C16" s="38"/>
      <x:c r="D16" s="38"/>
      <x:c r="E16" s="38"/>
      <x:c r="F16" s="38"/>
      <x:c r="G16" s="38"/>
      <x:c r="H16" s="38" t="str">
        <x:f>IF(A16="","",IF(COUNTIF($A$5:$A$36,A16)&gt;1,"Duplicate Team ID",IF(OR(B16="",C16="",D16=""),"Missing required field","OK")))</x:f>
      </x:c>
    </x:row>
    <x:row r="17" ht="15" hidden="0" customHeight="1">
      <x:c r="A17" s="38"/>
      <x:c r="B17" s="38"/>
      <x:c r="C17" s="38"/>
      <x:c r="D17" s="38"/>
      <x:c r="E17" s="38"/>
      <x:c r="F17" s="38"/>
      <x:c r="G17" s="38"/>
      <x:c r="H17" s="38" t="str">
        <x:f>IF(A17="","",IF(COUNTIF($A$5:$A$36,A17)&gt;1,"Duplicate Team ID",IF(OR(B17="",C17="",D17=""),"Missing required field","OK")))</x:f>
      </x:c>
    </x:row>
    <x:row r="18" ht="15" hidden="0" customHeight="1">
      <x:c r="A18" s="38"/>
      <x:c r="B18" s="38"/>
      <x:c r="C18" s="38"/>
      <x:c r="D18" s="38"/>
      <x:c r="E18" s="38"/>
      <x:c r="F18" s="38"/>
      <x:c r="G18" s="38"/>
      <x:c r="H18" s="38" t="str">
        <x:f>IF(A18="","",IF(COUNTIF($A$5:$A$36,A18)&gt;1,"Duplicate Team ID",IF(OR(B18="",C18="",D18=""),"Missing required field","OK")))</x:f>
      </x:c>
    </x:row>
    <x:row r="19" ht="15" hidden="0" customHeight="1">
      <x:c r="A19" s="38"/>
      <x:c r="B19" s="38"/>
      <x:c r="C19" s="38"/>
      <x:c r="D19" s="38"/>
      <x:c r="E19" s="38"/>
      <x:c r="F19" s="38"/>
      <x:c r="G19" s="38"/>
      <x:c r="H19" s="38" t="str">
        <x:f>IF(A19="","",IF(COUNTIF($A$5:$A$36,A19)&gt;1,"Duplicate Team ID",IF(OR(B19="",C19="",D19=""),"Missing required field","OK")))</x:f>
      </x:c>
    </x:row>
    <x:row r="20" ht="15" hidden="0" customHeight="1">
      <x:c r="A20" s="38"/>
      <x:c r="B20" s="38"/>
      <x:c r="C20" s="38"/>
      <x:c r="D20" s="38"/>
      <x:c r="E20" s="38"/>
      <x:c r="F20" s="38"/>
      <x:c r="G20" s="38"/>
      <x:c r="H20" s="38" t="str">
        <x:f>IF(A20="","",IF(COUNTIF($A$5:$A$36,A20)&gt;1,"Duplicate Team ID",IF(OR(B20="",C20="",D20=""),"Missing required field","OK")))</x:f>
      </x:c>
    </x:row>
    <x:row r="21" ht="15" hidden="0" customHeight="1">
      <x:c r="A21" s="38"/>
      <x:c r="B21" s="38"/>
      <x:c r="C21" s="38"/>
      <x:c r="D21" s="38"/>
      <x:c r="E21" s="38"/>
      <x:c r="F21" s="38"/>
      <x:c r="G21" s="38"/>
      <x:c r="H21" s="38" t="str">
        <x:f>IF(A21="","",IF(COUNTIF($A$5:$A$36,A21)&gt;1,"Duplicate Team ID",IF(OR(B21="",C21="",D21=""),"Missing required field","OK")))</x:f>
      </x:c>
    </x:row>
    <x:row r="22" ht="15" hidden="0" customHeight="1">
      <x:c r="A22" s="38"/>
      <x:c r="B22" s="38"/>
      <x:c r="C22" s="38"/>
      <x:c r="D22" s="38"/>
      <x:c r="E22" s="38"/>
      <x:c r="F22" s="38"/>
      <x:c r="G22" s="38"/>
      <x:c r="H22" s="38" t="str">
        <x:f>IF(A22="","",IF(COUNTIF($A$5:$A$36,A22)&gt;1,"Duplicate Team ID",IF(OR(B22="",C22="",D22=""),"Missing required field","OK")))</x:f>
      </x:c>
    </x:row>
    <x:row r="23" ht="15" hidden="0" customHeight="1">
      <x:c r="A23" s="38"/>
      <x:c r="B23" s="38"/>
      <x:c r="C23" s="38"/>
      <x:c r="D23" s="38"/>
      <x:c r="E23" s="38"/>
      <x:c r="F23" s="38"/>
      <x:c r="G23" s="38"/>
      <x:c r="H23" s="38" t="str">
        <x:f>IF(A23="","",IF(COUNTIF($A$5:$A$36,A23)&gt;1,"Duplicate Team ID",IF(OR(B23="",C23="",D23=""),"Missing required field","OK")))</x:f>
      </x:c>
    </x:row>
    <x:row r="24" ht="15" hidden="0" customHeight="1">
      <x:c r="A24" s="38"/>
      <x:c r="B24" s="38"/>
      <x:c r="C24" s="38"/>
      <x:c r="D24" s="38"/>
      <x:c r="E24" s="38"/>
      <x:c r="F24" s="38"/>
      <x:c r="G24" s="38"/>
      <x:c r="H24" s="38" t="str">
        <x:f>IF(A24="","",IF(COUNTIF($A$5:$A$36,A24)&gt;1,"Duplicate Team ID",IF(OR(B24="",C24="",D24=""),"Missing required field","OK")))</x:f>
      </x:c>
    </x:row>
    <x:row r="25" ht="15" hidden="0" customHeight="1">
      <x:c r="A25" s="38"/>
      <x:c r="B25" s="38"/>
      <x:c r="C25" s="38"/>
      <x:c r="D25" s="38"/>
      <x:c r="E25" s="38"/>
      <x:c r="F25" s="38"/>
      <x:c r="G25" s="38"/>
      <x:c r="H25" s="38" t="str">
        <x:f>IF(A25="","",IF(COUNTIF($A$5:$A$36,A25)&gt;1,"Duplicate Team ID",IF(OR(B25="",C25="",D25=""),"Missing required field","OK")))</x:f>
      </x:c>
    </x:row>
    <x:row r="26" ht="15" hidden="0" customHeight="1">
      <x:c r="A26" s="38"/>
      <x:c r="B26" s="38"/>
      <x:c r="C26" s="38"/>
      <x:c r="D26" s="38"/>
      <x:c r="E26" s="38"/>
      <x:c r="F26" s="38"/>
      <x:c r="G26" s="38"/>
      <x:c r="H26" s="38" t="str">
        <x:f>IF(A26="","",IF(COUNTIF($A$5:$A$36,A26)&gt;1,"Duplicate Team ID",IF(OR(B26="",C26="",D26=""),"Missing required field","OK")))</x:f>
      </x:c>
    </x:row>
    <x:row r="27" ht="15" hidden="0" customHeight="1">
      <x:c r="A27" s="38"/>
      <x:c r="B27" s="38"/>
      <x:c r="C27" s="38"/>
      <x:c r="D27" s="38"/>
      <x:c r="E27" s="38"/>
      <x:c r="F27" s="38"/>
      <x:c r="G27" s="38"/>
      <x:c r="H27" s="38" t="str">
        <x:f>IF(A27="","",IF(COUNTIF($A$5:$A$36,A27)&gt;1,"Duplicate Team ID",IF(OR(B27="",C27="",D27=""),"Missing required field","OK")))</x:f>
      </x:c>
    </x:row>
    <x:row r="28" ht="15" hidden="0" customHeight="1">
      <x:c r="A28" s="38"/>
      <x:c r="B28" s="38"/>
      <x:c r="C28" s="38"/>
      <x:c r="D28" s="38"/>
      <x:c r="E28" s="38"/>
      <x:c r="F28" s="38"/>
      <x:c r="G28" s="38"/>
      <x:c r="H28" s="38" t="str">
        <x:f>IF(A28="","",IF(COUNTIF($A$5:$A$36,A28)&gt;1,"Duplicate Team ID",IF(OR(B28="",C28="",D28=""),"Missing required field","OK")))</x:f>
      </x:c>
    </x:row>
    <x:row r="29" ht="15" hidden="0" customHeight="1">
      <x:c r="A29" s="38"/>
      <x:c r="B29" s="38"/>
      <x:c r="C29" s="38"/>
      <x:c r="D29" s="38"/>
      <x:c r="E29" s="38"/>
      <x:c r="F29" s="38"/>
      <x:c r="G29" s="38"/>
      <x:c r="H29" s="38" t="str">
        <x:f>IF(A29="","",IF(COUNTIF($A$5:$A$36,A29)&gt;1,"Duplicate Team ID",IF(OR(B29="",C29="",D29=""),"Missing required field","OK")))</x:f>
      </x:c>
    </x:row>
    <x:row r="30" ht="15" hidden="0" customHeight="1">
      <x:c r="A30" s="38"/>
      <x:c r="B30" s="38"/>
      <x:c r="C30" s="38"/>
      <x:c r="D30" s="38"/>
      <x:c r="E30" s="38"/>
      <x:c r="F30" s="38"/>
      <x:c r="G30" s="38"/>
      <x:c r="H30" s="38" t="str">
        <x:f>IF(A30="","",IF(COUNTIF($A$5:$A$36,A30)&gt;1,"Duplicate Team ID",IF(OR(B30="",C30="",D30=""),"Missing required field","OK")))</x:f>
      </x:c>
    </x:row>
    <x:row r="31" ht="15" hidden="0" customHeight="1">
      <x:c r="A31" s="38"/>
      <x:c r="B31" s="38"/>
      <x:c r="C31" s="38"/>
      <x:c r="D31" s="38"/>
      <x:c r="E31" s="38"/>
      <x:c r="F31" s="38"/>
      <x:c r="G31" s="38"/>
      <x:c r="H31" s="38" t="str">
        <x:f>IF(A31="","",IF(COUNTIF($A$5:$A$36,A31)&gt;1,"Duplicate Team ID",IF(OR(B31="",C31="",D31=""),"Missing required field","OK")))</x:f>
      </x:c>
    </x:row>
    <x:row r="32" ht="15" hidden="0" customHeight="1">
      <x:c r="A32" s="38"/>
      <x:c r="B32" s="38"/>
      <x:c r="C32" s="38"/>
      <x:c r="D32" s="38"/>
      <x:c r="E32" s="38"/>
      <x:c r="F32" s="38"/>
      <x:c r="G32" s="38"/>
      <x:c r="H32" s="38" t="str">
        <x:f>IF(A32="","",IF(COUNTIF($A$5:$A$36,A32)&gt;1,"Duplicate Team ID",IF(OR(B32="",C32="",D32=""),"Missing required field","OK")))</x:f>
      </x:c>
    </x:row>
    <x:row r="33" ht="15" hidden="0" customHeight="1">
      <x:c r="A33" s="38"/>
      <x:c r="B33" s="38"/>
      <x:c r="C33" s="38"/>
      <x:c r="D33" s="38"/>
      <x:c r="E33" s="38"/>
      <x:c r="F33" s="38"/>
      <x:c r="G33" s="38"/>
      <x:c r="H33" s="38" t="str">
        <x:f>IF(A33="","",IF(COUNTIF($A$5:$A$36,A33)&gt;1,"Duplicate Team ID",IF(OR(B33="",C33="",D33=""),"Missing required field","OK")))</x:f>
      </x:c>
    </x:row>
    <x:row r="34" ht="15" hidden="0" customHeight="1">
      <x:c r="A34" s="38"/>
      <x:c r="B34" s="38"/>
      <x:c r="C34" s="38"/>
      <x:c r="D34" s="38"/>
      <x:c r="E34" s="38"/>
      <x:c r="F34" s="38"/>
      <x:c r="G34" s="38"/>
      <x:c r="H34" s="38" t="str">
        <x:f>IF(A34="","",IF(COUNTIF($A$5:$A$36,A34)&gt;1,"Duplicate Team ID",IF(OR(B34="",C34="",D34=""),"Missing required field","OK")))</x:f>
      </x:c>
    </x:row>
    <x:row r="35" ht="15" hidden="0" customHeight="1">
      <x:c r="A35" s="38"/>
      <x:c r="B35" s="38"/>
      <x:c r="C35" s="38"/>
      <x:c r="D35" s="38"/>
      <x:c r="E35" s="38"/>
      <x:c r="F35" s="38"/>
      <x:c r="G35" s="38"/>
      <x:c r="H35" s="38" t="str">
        <x:f>IF(A35="","",IF(COUNTIF($A$5:$A$36,A35)&gt;1,"Duplicate Team ID",IF(OR(B35="",C35="",D35=""),"Missing required field","OK")))</x:f>
      </x:c>
    </x:row>
    <x:row r="36" ht="15" hidden="0" customHeight="1">
      <x:c r="A36" s="38"/>
      <x:c r="B36" s="38"/>
      <x:c r="C36" s="38"/>
      <x:c r="D36" s="38"/>
      <x:c r="E36" s="38"/>
      <x:c r="F36" s="38"/>
      <x:c r="G36" s="38"/>
      <x:c r="H36" s="38" t="str">
        <x:f>IF(A36="","",IF(COUNTIF($A$5:$A$36,A36)&gt;1,"Duplicate Team ID",IF(OR(B36="",C36="",D36=""),"Missing required field","OK")))</x:f>
      </x:c>
    </x:row>
  </x:sheetData>
  <x:mergeCells>
    <x:mergeCell ref="A1:H1"/>
    <x:mergeCell ref="A2:H2"/>
  </x:mergeCells>
  <x:dataValidations count="1">
    <x:dataValidation type="list" sqref="E5:E36">
      <x:formula1>"Active,Withdrawn,Removed from standings"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a9957ccaab408b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1.6299991607666" hidden="0" customWidth="1"/>
    <x:col min="2" max="2" width="13" hidden="0" customWidth="1"/>
    <x:col min="3" max="3" width="19.75" hidden="0" customWidth="1"/>
    <x:col min="4" max="4" width="11.5" hidden="0" customWidth="1"/>
    <x:col min="5" max="5" width="18.3799991607666" hidden="0" customWidth="1"/>
    <x:col min="6" max="6" width="14.75" hidden="0" customWidth="1"/>
    <x:col min="7" max="7" width="14.880000114440918" hidden="0" customWidth="1"/>
  </x:cols>
  <x:sheetData>
    <x:row r="1" ht="15" hidden="0" customHeight="1">
      <x:c r="A1" s="47" t="str">
        <x:v>Venues</x:v>
      </x:c>
      <x:c r="B1" s="38"/>
      <x:c r="C1" s="38"/>
      <x:c r="D1" s="38"/>
      <x:c r="E1" s="38"/>
      <x:c r="F1" s="38"/>
      <x:c r="G1" s="38"/>
    </x:row>
    <x:row r="2" ht="15" hidden="0" customHeight="1">
      <x:c r="A2" s="38" t="str">
        <x:v>Approved venue and pitch list for Fixtures.</x:v>
      </x:c>
      <x:c r="B2" s="38"/>
      <x:c r="C2" s="38"/>
      <x:c r="D2" s="38"/>
      <x:c r="E2" s="38"/>
      <x:c r="F2" s="38"/>
      <x:c r="G2" s="38"/>
    </x:row>
    <x:row r="3" ht="15" hidden="0" customHeight="1">
      <x:c r="A3" s="38"/>
      <x:c r="B3" s="38"/>
      <x:c r="C3" s="38"/>
      <x:c r="D3" s="38"/>
      <x:c r="E3" s="38"/>
      <x:c r="F3" s="38"/>
      <x:c r="G3" s="38"/>
    </x:row>
    <x:row r="4" ht="15" hidden="0" customHeight="1">
      <x:c r="A4" s="39" t="str">
        <x:v>Venue ID</x:v>
      </x:c>
      <x:c r="B4" s="40" t="str">
        <x:v>Venue Name</x:v>
      </x:c>
      <x:c r="C4" s="40" t="str">
        <x:v>Site/Facility</x:v>
      </x:c>
      <x:c r="D4" s="40" t="str">
        <x:v>Pitch/Field</x:v>
      </x:c>
      <x:c r="E4" s="40" t="str">
        <x:v>Location/Notes</x:v>
      </x:c>
      <x:c r="F4" s="40" t="str">
        <x:v>Active/Inactive</x:v>
      </x:c>
      <x:c r="G4" s="41" t="str">
        <x:v>Validation Flag</x:v>
      </x:c>
    </x:row>
    <x:row r="5" ht="15" hidden="0" customHeight="1">
      <x:c r="A5" s="48" t="str">
        <x:v>V001</x:v>
      </x:c>
      <x:c r="B5" s="38" t="str">
        <x:v>Pitch 1</x:v>
      </x:c>
      <x:c r="C5" s="38" t="str">
        <x:v>Community Sports Centre</x:v>
      </x:c>
      <x:c r="D5" s="38" t="str">
        <x:v>Pitch 1</x:v>
      </x:c>
      <x:c r="E5" s="38" t="str">
        <x:v>Main field</x:v>
      </x:c>
      <x:c r="F5" s="38" t="str">
        <x:v>Active</x:v>
      </x:c>
      <x:c r="G5" s="49" t="str">
        <x:f>IF(A5="","",IF(COUNTIF($A$5:$A$24,A5)&gt;1,"Duplicate Venue ID",IF(OR(B5="",F5=""),"Missing required field","OK")))</x:f>
        <x:v>OK</x:v>
      </x:c>
    </x:row>
    <x:row r="6" ht="15" hidden="0" customHeight="1">
      <x:c r="A6" s="48" t="str">
        <x:v>V002</x:v>
      </x:c>
      <x:c r="B6" s="38" t="str">
        <x:v>Pitch 2</x:v>
      </x:c>
      <x:c r="C6" s="38" t="str">
        <x:v>Community Sports Centre</x:v>
      </x:c>
      <x:c r="D6" s="38" t="str">
        <x:v>Pitch 2</x:v>
      </x:c>
      <x:c r="E6" s="38" t="str">
        <x:v>Second field</x:v>
      </x:c>
      <x:c r="F6" s="38" t="str">
        <x:v>Active</x:v>
      </x:c>
      <x:c r="G6" s="49" t="str">
        <x:f>IF(A6="","",IF(COUNTIF($A$5:$A$24,A6)&gt;1,"Duplicate Venue ID",IF(OR(B6="",F6=""),"Missing required field","OK")))</x:f>
        <x:v>OK</x:v>
      </x:c>
    </x:row>
    <x:row r="7" ht="15" hidden="0" customHeight="1">
      <x:c r="A7" s="48" t="str">
        <x:v>V003</x:v>
      </x:c>
      <x:c r="B7" s="38" t="str">
        <x:v>School Ground</x:v>
      </x:c>
      <x:c r="C7" s="38" t="str">
        <x:v>Northside School</x:v>
      </x:c>
      <x:c r="D7" s="38" t="str">
        <x:v>Main</x:v>
      </x:c>
      <x:c r="E7" s="38" t="str">
        <x:v>Grass field</x:v>
      </x:c>
      <x:c r="F7" s="38" t="str">
        <x:v>Active</x:v>
      </x:c>
      <x:c r="G7" s="49" t="str">
        <x:f>IF(A7="","",IF(COUNTIF($A$5:$A$24,A7)&gt;1,"Duplicate Venue ID",IF(OR(B7="",F7=""),"Missing required field","OK")))</x:f>
        <x:v>OK</x:v>
      </x:c>
    </x:row>
    <x:row r="8" ht="15" hidden="0" customHeight="1">
      <x:c r="A8" s="50" t="str">
        <x:v>V004</x:v>
      </x:c>
      <x:c r="B8" s="51" t="str">
        <x:v>Training Field</x:v>
      </x:c>
      <x:c r="C8" s="51" t="str">
        <x:v>Academy Grounds</x:v>
      </x:c>
      <x:c r="D8" s="51" t="str">
        <x:v>Small-sided</x:v>
      </x:c>
      <x:c r="E8" s="51" t="str">
        <x:v>Use for youth finals only</x:v>
      </x:c>
      <x:c r="F8" s="51" t="str">
        <x:v>Active</x:v>
      </x:c>
      <x:c r="G8" s="52" t="str">
        <x:f>IF(A8="","",IF(COUNTIF($A$5:$A$24,A8)&gt;1,"Duplicate Venue ID",IF(OR(B8="",F8=""),"Missing required field","OK")))</x:f>
        <x:v>OK</x:v>
      </x:c>
    </x:row>
    <x:row r="9" ht="15" hidden="0" customHeight="1">
      <x:c r="A9" s="38"/>
      <x:c r="B9" s="38"/>
      <x:c r="C9" s="38"/>
      <x:c r="D9" s="38"/>
      <x:c r="E9" s="38"/>
      <x:c r="F9" s="38"/>
      <x:c r="G9" s="38" t="str">
        <x:f>IF(A9="","",IF(COUNTIF($A$5:$A$24,A9)&gt;1,"Duplicate Venue ID",IF(OR(B9="",F9=""),"Missing required field","OK")))</x:f>
      </x:c>
    </x:row>
    <x:row r="10" ht="15" hidden="0" customHeight="1">
      <x:c r="A10" s="38"/>
      <x:c r="B10" s="38"/>
      <x:c r="C10" s="38"/>
      <x:c r="D10" s="38"/>
      <x:c r="E10" s="38"/>
      <x:c r="F10" s="38"/>
      <x:c r="G10" s="38" t="str">
        <x:f>IF(A10="","",IF(COUNTIF($A$5:$A$24,A10)&gt;1,"Duplicate Venue ID",IF(OR(B10="",F10=""),"Missing required field","OK")))</x:f>
      </x:c>
    </x:row>
    <x:row r="11" ht="15" hidden="0" customHeight="1">
      <x:c r="A11" s="38"/>
      <x:c r="B11" s="38"/>
      <x:c r="C11" s="38"/>
      <x:c r="D11" s="38"/>
      <x:c r="E11" s="38"/>
      <x:c r="F11" s="38"/>
      <x:c r="G11" s="38" t="str">
        <x:f>IF(A11="","",IF(COUNTIF($A$5:$A$24,A11)&gt;1,"Duplicate Venue ID",IF(OR(B11="",F11=""),"Missing required field","OK")))</x:f>
      </x:c>
    </x:row>
    <x:row r="12" ht="15" hidden="0" customHeight="1">
      <x:c r="A12" s="38"/>
      <x:c r="B12" s="38"/>
      <x:c r="C12" s="38"/>
      <x:c r="D12" s="38"/>
      <x:c r="E12" s="38"/>
      <x:c r="F12" s="38"/>
      <x:c r="G12" s="38" t="str">
        <x:f>IF(A12="","",IF(COUNTIF($A$5:$A$24,A12)&gt;1,"Duplicate Venue ID",IF(OR(B12="",F12=""),"Missing required field","OK")))</x:f>
      </x:c>
    </x:row>
    <x:row r="13" ht="15" hidden="0" customHeight="1">
      <x:c r="A13" s="38"/>
      <x:c r="B13" s="38"/>
      <x:c r="C13" s="38"/>
      <x:c r="D13" s="38"/>
      <x:c r="E13" s="38"/>
      <x:c r="F13" s="38"/>
      <x:c r="G13" s="38" t="str">
        <x:f>IF(A13="","",IF(COUNTIF($A$5:$A$24,A13)&gt;1,"Duplicate Venue ID",IF(OR(B13="",F13=""),"Missing required field","OK")))</x:f>
      </x:c>
    </x:row>
    <x:row r="14" ht="15" hidden="0" customHeight="1">
      <x:c r="A14" s="38"/>
      <x:c r="B14" s="38"/>
      <x:c r="C14" s="38"/>
      <x:c r="D14" s="38"/>
      <x:c r="E14" s="38"/>
      <x:c r="F14" s="38"/>
      <x:c r="G14" s="38" t="str">
        <x:f>IF(A14="","",IF(COUNTIF($A$5:$A$24,A14)&gt;1,"Duplicate Venue ID",IF(OR(B14="",F14=""),"Missing required field","OK")))</x:f>
      </x:c>
    </x:row>
    <x:row r="15" ht="15" hidden="0" customHeight="1">
      <x:c r="A15" s="38"/>
      <x:c r="B15" s="38"/>
      <x:c r="C15" s="38"/>
      <x:c r="D15" s="38"/>
      <x:c r="E15" s="38"/>
      <x:c r="F15" s="38"/>
      <x:c r="G15" s="38" t="str">
        <x:f>IF(A15="","",IF(COUNTIF($A$5:$A$24,A15)&gt;1,"Duplicate Venue ID",IF(OR(B15="",F15=""),"Missing required field","OK")))</x:f>
      </x:c>
    </x:row>
    <x:row r="16" ht="15" hidden="0" customHeight="1">
      <x:c r="A16" s="38"/>
      <x:c r="B16" s="38"/>
      <x:c r="C16" s="38"/>
      <x:c r="D16" s="38"/>
      <x:c r="E16" s="38"/>
      <x:c r="F16" s="38"/>
      <x:c r="G16" s="38" t="str">
        <x:f>IF(A16="","",IF(COUNTIF($A$5:$A$24,A16)&gt;1,"Duplicate Venue ID",IF(OR(B16="",F16=""),"Missing required field","OK")))</x:f>
      </x:c>
    </x:row>
    <x:row r="17" ht="15" hidden="0" customHeight="1">
      <x:c r="A17" s="38"/>
      <x:c r="B17" s="38"/>
      <x:c r="C17" s="38"/>
      <x:c r="D17" s="38"/>
      <x:c r="E17" s="38"/>
      <x:c r="F17" s="38"/>
      <x:c r="G17" s="38" t="str">
        <x:f>IF(A17="","",IF(COUNTIF($A$5:$A$24,A17)&gt;1,"Duplicate Venue ID",IF(OR(B17="",F17=""),"Missing required field","OK")))</x:f>
      </x:c>
    </x:row>
    <x:row r="18" ht="15" hidden="0" customHeight="1">
      <x:c r="A18" s="38"/>
      <x:c r="B18" s="38"/>
      <x:c r="C18" s="38"/>
      <x:c r="D18" s="38"/>
      <x:c r="E18" s="38"/>
      <x:c r="F18" s="38"/>
      <x:c r="G18" s="38" t="str">
        <x:f>IF(A18="","",IF(COUNTIF($A$5:$A$24,A18)&gt;1,"Duplicate Venue ID",IF(OR(B18="",F18=""),"Missing required field","OK")))</x:f>
      </x:c>
    </x:row>
    <x:row r="19" ht="15" hidden="0" customHeight="1">
      <x:c r="A19" s="38"/>
      <x:c r="B19" s="38"/>
      <x:c r="C19" s="38"/>
      <x:c r="D19" s="38"/>
      <x:c r="E19" s="38"/>
      <x:c r="F19" s="38"/>
      <x:c r="G19" s="38" t="str">
        <x:f>IF(A19="","",IF(COUNTIF($A$5:$A$24,A19)&gt;1,"Duplicate Venue ID",IF(OR(B19="",F19=""),"Missing required field","OK")))</x:f>
      </x:c>
    </x:row>
    <x:row r="20" ht="15" hidden="0" customHeight="1">
      <x:c r="A20" s="38"/>
      <x:c r="B20" s="38"/>
      <x:c r="C20" s="38"/>
      <x:c r="D20" s="38"/>
      <x:c r="E20" s="38"/>
      <x:c r="F20" s="38"/>
      <x:c r="G20" s="38" t="str">
        <x:f>IF(A20="","",IF(COUNTIF($A$5:$A$24,A20)&gt;1,"Duplicate Venue ID",IF(OR(B20="",F20=""),"Missing required field","OK")))</x:f>
      </x:c>
    </x:row>
    <x:row r="21" ht="15" hidden="0" customHeight="1">
      <x:c r="A21" s="38"/>
      <x:c r="B21" s="38"/>
      <x:c r="C21" s="38"/>
      <x:c r="D21" s="38"/>
      <x:c r="E21" s="38"/>
      <x:c r="F21" s="38"/>
      <x:c r="G21" s="38" t="str">
        <x:f>IF(A21="","",IF(COUNTIF($A$5:$A$24,A21)&gt;1,"Duplicate Venue ID",IF(OR(B21="",F21=""),"Missing required field","OK")))</x:f>
      </x:c>
    </x:row>
    <x:row r="22" ht="15" hidden="0" customHeight="1">
      <x:c r="A22" s="38"/>
      <x:c r="B22" s="38"/>
      <x:c r="C22" s="38"/>
      <x:c r="D22" s="38"/>
      <x:c r="E22" s="38"/>
      <x:c r="F22" s="38"/>
      <x:c r="G22" s="38" t="str">
        <x:f>IF(A22="","",IF(COUNTIF($A$5:$A$24,A22)&gt;1,"Duplicate Venue ID",IF(OR(B22="",F22=""),"Missing required field","OK")))</x:f>
      </x:c>
    </x:row>
    <x:row r="23" ht="15" hidden="0" customHeight="1">
      <x:c r="A23" s="38"/>
      <x:c r="B23" s="38"/>
      <x:c r="C23" s="38"/>
      <x:c r="D23" s="38"/>
      <x:c r="E23" s="38"/>
      <x:c r="F23" s="38"/>
      <x:c r="G23" s="38" t="str">
        <x:f>IF(A23="","",IF(COUNTIF($A$5:$A$24,A23)&gt;1,"Duplicate Venue ID",IF(OR(B23="",F23=""),"Missing required field","OK")))</x:f>
      </x:c>
    </x:row>
    <x:row r="24" ht="15" hidden="0" customHeight="1">
      <x:c r="A24" s="38"/>
      <x:c r="B24" s="38"/>
      <x:c r="C24" s="38"/>
      <x:c r="D24" s="38"/>
      <x:c r="E24" s="38"/>
      <x:c r="F24" s="38"/>
      <x:c r="G24" s="38" t="str">
        <x:f>IF(A24="","",IF(COUNTIF($A$5:$A$24,A24)&gt;1,"Duplicate Venue ID",IF(OR(B24="",F24=""),"Missing required field","OK")))</x:f>
      </x:c>
    </x:row>
  </x:sheetData>
  <x:mergeCells>
    <x:mergeCell ref="A1:H1"/>
    <x:mergeCell ref="A2:H2"/>
  </x:mergeCells>
  <x:dataValidations count="1">
    <x:dataValidation type="list" sqref="F5:F2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ac298fd1064c00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0.5" hidden="0" customWidth="1"/>
    <x:col min="2" max="2" width="17.75" hidden="0" customWidth="1"/>
    <x:col min="3" max="3" width="52.75" hidden="0" customWidth="1"/>
    <x:col min="4" max="4" width="14.5" hidden="0" customWidth="1"/>
    <x:col min="5" max="5" width="14.25" hidden="0" customWidth="1"/>
    <x:col min="6" max="6" width="18" hidden="0" customWidth="1"/>
    <x:col min="7" max="7" width="35.630001068115234" hidden="0" customWidth="1"/>
  </x:cols>
  <x:sheetData>
    <x:row r="1" ht="15" hidden="0" customHeight="1">
      <x:c r="A1" s="47" t="str">
        <x:v>Fixture Builder</x:v>
      </x:c>
      <x:c r="B1" s="38"/>
      <x:c r="C1" s="38"/>
      <x:c r="D1" s="38"/>
      <x:c r="E1" s="38"/>
      <x:c r="F1" s="38"/>
      <x:c r="G1" s="38"/>
    </x:row>
    <x:row r="2" ht="15" hidden="0" customHeight="1">
      <x:c r="A2" s="38" t="str">
        <x:v>Fixture shell helper for common v1.0 paths. Generated shells must be reviewed before copying into Fixtures.</x:v>
      </x:c>
      <x:c r="B2" s="38"/>
      <x:c r="C2" s="38"/>
      <x:c r="D2" s="38"/>
      <x:c r="E2" s="38"/>
      <x:c r="F2" s="38"/>
      <x:c r="G2" s="38"/>
    </x:row>
    <x:row r="3" ht="15" hidden="0" customHeight="1">
      <x:c r="A3" s="38"/>
      <x:c r="B3" s="38"/>
      <x:c r="C3" s="38"/>
      <x:c r="D3" s="38"/>
      <x:c r="E3" s="38"/>
      <x:c r="F3" s="38"/>
      <x:c r="G3" s="38"/>
    </x:row>
    <x:row r="4" ht="15" hidden="0" customHeight="1">
      <x:c r="A4" s="39" t="str">
        <x:v>Input</x:v>
      </x:c>
      <x:c r="B4" s="40" t="str">
        <x:v>Value</x:v>
      </x:c>
      <x:c r="C4" s="41" t="str">
        <x:v>Notes</x:v>
      </x:c>
      <x:c r="D4" s="38"/>
      <x:c r="E4" s="38"/>
      <x:c r="F4" s="38"/>
      <x:c r="G4" s="38"/>
    </x:row>
    <x:row r="5" ht="15" hidden="0" customHeight="1">
      <x:c r="A5" s="48" t="str">
        <x:v>Fixture Mode</x:v>
      </x:c>
      <x:c r="B5" s="55" t="str">
        <x:v>League/Round-robin</x:v>
      </x:c>
      <x:c r="C5" s="49" t="str">
        <x:v>Allowed: League/Round-robin, Group Stage, Simple Knockout, Manual</x:v>
      </x:c>
      <x:c r="D5" s="38"/>
      <x:c r="E5" s="38"/>
      <x:c r="F5" s="38"/>
      <x:c r="G5" s="38"/>
    </x:row>
    <x:row r="6" ht="15" hidden="0" customHeight="1">
      <x:c r="A6" s="48" t="str">
        <x:v>Division/Group Filter</x:v>
      </x:c>
      <x:c r="B6" s="55" t="str">
        <x:v>Group A</x:v>
      </x:c>
      <x:c r="C6" s="49" t="str">
        <x:v>Use one group at a time for the first prototype.</x:v>
      </x:c>
      <x:c r="D6" s="38"/>
      <x:c r="E6" s="38"/>
      <x:c r="F6" s="38"/>
      <x:c r="G6" s="38"/>
    </x:row>
    <x:row r="7" ht="15" hidden="0" customHeight="1">
      <x:c r="A7" s="48" t="str">
        <x:v>Round Type</x:v>
      </x:c>
      <x:c r="B7" s="55" t="str">
        <x:v>Single Round</x:v>
      </x:c>
      <x:c r="C7" s="49" t="str">
        <x:v>Double round is documented but needs additional QA before release.</x:v>
      </x:c>
      <x:c r="D7" s="38"/>
      <x:c r="E7" s="38"/>
      <x:c r="F7" s="38"/>
      <x:c r="G7" s="38"/>
    </x:row>
    <x:row r="8" ht="15" hidden="0" customHeight="1">
      <x:c r="A8" s="48" t="str">
        <x:v>Matchday/Round Prefix</x:v>
      </x:c>
      <x:c r="B8" s="55" t="str">
        <x:v>MD</x:v>
      </x:c>
      <x:c r="C8" s="49" t="str">
        <x:v>Used in generated shell labels.</x:v>
      </x:c>
      <x:c r="D8" s="38"/>
      <x:c r="E8" s="38"/>
      <x:c r="F8" s="38"/>
      <x:c r="G8" s="38"/>
    </x:row>
    <x:row r="9" ht="15" hidden="0" customHeight="1">
      <x:c r="A9" s="50" t="str">
        <x:v>Builder Boundary</x:v>
      </x:c>
      <x:c r="B9" s="57" t="str">
        <x:v>Shells only</x:v>
      </x:c>
      <x:c r="C9" s="52" t="str">
        <x:v>No venue/time optimisation or progression automation in v1.0.</x:v>
      </x:c>
      <x:c r="D9" s="38"/>
      <x:c r="E9" s="38"/>
      <x:c r="F9" s="38"/>
      <x:c r="G9" s="38"/>
    </x:row>
    <x:row r="10" ht="15" hidden="0" customHeight="1">
      <x:c r="A10" s="38"/>
      <x:c r="B10" s="38"/>
      <x:c r="C10" s="38"/>
      <x:c r="D10" s="38"/>
      <x:c r="E10" s="38"/>
      <x:c r="F10" s="38"/>
      <x:c r="G10" s="38"/>
    </x:row>
    <x:row r="11" ht="15" hidden="0" customHeight="1">
      <x:c r="A11" s="38"/>
      <x:c r="B11" s="38"/>
      <x:c r="C11" s="38"/>
      <x:c r="D11" s="38"/>
      <x:c r="E11" s="38"/>
      <x:c r="F11" s="38"/>
      <x:c r="G11" s="38"/>
    </x:row>
    <x:row r="12" ht="15" hidden="0" customHeight="1">
      <x:c r="A12" s="39" t="str">
        <x:v>Mode</x:v>
      </x:c>
      <x:c r="B12" s="40" t="str">
        <x:v>Division/Group</x:v>
      </x:c>
      <x:c r="C12" s="40" t="str">
        <x:v>Round/Matchday</x:v>
      </x:c>
      <x:c r="D12" s="40" t="str">
        <x:v>Home Team ID</x:v>
      </x:c>
      <x:c r="E12" s="40" t="str">
        <x:v>Away Team ID</x:v>
      </x:c>
      <x:c r="F12" s="40" t="str">
        <x:v>Target Fixture Row</x:v>
      </x:c>
      <x:c r="G12" s="41" t="str">
        <x:v>Notes</x:v>
      </x:c>
    </x:row>
    <x:row r="13" ht="15" hidden="0" customHeight="1">
      <x:c r="A13" s="48" t="str">
        <x:v>League/Round-robin</x:v>
      </x:c>
      <x:c r="B13" s="38" t="str">
        <x:v>Group A</x:v>
      </x:c>
      <x:c r="C13" s="38" t="str">
        <x:v>MD1</x:v>
      </x:c>
      <x:c r="D13" s="38" t="str">
        <x:v>T001</x:v>
      </x:c>
      <x:c r="E13" s="38" t="str">
        <x:v>T002</x:v>
      </x:c>
      <x:c r="F13" s="38" t="str">
        <x:v>Fixtures</x:v>
      </x:c>
      <x:c r="G13" s="49" t="str">
        <x:v>4-team single round sample shell.</x:v>
      </x:c>
    </x:row>
    <x:row r="14" ht="15" hidden="0" customHeight="1">
      <x:c r="A14" s="48" t="str">
        <x:v>League/Round-robin</x:v>
      </x:c>
      <x:c r="B14" s="38" t="str">
        <x:v>Group A</x:v>
      </x:c>
      <x:c r="C14" s="38" t="str">
        <x:v>MD1</x:v>
      </x:c>
      <x:c r="D14" s="38" t="str">
        <x:v>T003</x:v>
      </x:c>
      <x:c r="E14" s="38" t="str">
        <x:v>T004</x:v>
      </x:c>
      <x:c r="F14" s="38" t="str">
        <x:v>Fixtures</x:v>
      </x:c>
      <x:c r="G14" s="49" t="str">
        <x:v>4-team single round sample shell.</x:v>
      </x:c>
    </x:row>
    <x:row r="15" ht="15" hidden="0" customHeight="1">
      <x:c r="A15" s="48" t="str">
        <x:v>League/Round-robin</x:v>
      </x:c>
      <x:c r="B15" s="38" t="str">
        <x:v>Group A</x:v>
      </x:c>
      <x:c r="C15" s="38" t="str">
        <x:v>MD2</x:v>
      </x:c>
      <x:c r="D15" s="38" t="str">
        <x:v>T001</x:v>
      </x:c>
      <x:c r="E15" s="38" t="str">
        <x:v>T003</x:v>
      </x:c>
      <x:c r="F15" s="38" t="str">
        <x:v>Fixtures</x:v>
      </x:c>
      <x:c r="G15" s="49" t="str">
        <x:v>4-team single round sample shell.</x:v>
      </x:c>
    </x:row>
    <x:row r="16" ht="15" hidden="0" customHeight="1">
      <x:c r="A16" s="48" t="str">
        <x:v>League/Round-robin</x:v>
      </x:c>
      <x:c r="B16" s="38" t="str">
        <x:v>Group A</x:v>
      </x:c>
      <x:c r="C16" s="38" t="str">
        <x:v>MD2</x:v>
      </x:c>
      <x:c r="D16" s="38" t="str">
        <x:v>T002</x:v>
      </x:c>
      <x:c r="E16" s="38" t="str">
        <x:v>T004</x:v>
      </x:c>
      <x:c r="F16" s="38" t="str">
        <x:v>Fixtures</x:v>
      </x:c>
      <x:c r="G16" s="49" t="str">
        <x:v>4-team single round sample shell.</x:v>
      </x:c>
    </x:row>
    <x:row r="17" ht="15" hidden="0" customHeight="1">
      <x:c r="A17" s="48" t="str">
        <x:v>Group Stage</x:v>
      </x:c>
      <x:c r="B17" s="38" t="str">
        <x:v>Group B</x:v>
      </x:c>
      <x:c r="C17" s="38" t="str">
        <x:v>MD1</x:v>
      </x:c>
      <x:c r="D17" s="38" t="str">
        <x:v>T005</x:v>
      </x:c>
      <x:c r="E17" s="38" t="str">
        <x:v>T006</x:v>
      </x:c>
      <x:c r="F17" s="38" t="str">
        <x:v>Fixtures</x:v>
      </x:c>
      <x:c r="G17" s="49" t="str">
        <x:v>Same shell pattern per group.</x:v>
      </x:c>
    </x:row>
    <x:row r="18" ht="15" hidden="0" customHeight="1">
      <x:c r="A18" s="48" t="str">
        <x:v>Group Stage</x:v>
      </x:c>
      <x:c r="B18" s="38" t="str">
        <x:v>Group B</x:v>
      </x:c>
      <x:c r="C18" s="38" t="str">
        <x:v>MD1</x:v>
      </x:c>
      <x:c r="D18" s="38" t="str">
        <x:v>T007</x:v>
      </x:c>
      <x:c r="E18" s="38" t="str">
        <x:v>T008</x:v>
      </x:c>
      <x:c r="F18" s="38" t="str">
        <x:v>Fixtures</x:v>
      </x:c>
      <x:c r="G18" s="49" t="str">
        <x:v>Same shell pattern per group.</x:v>
      </x:c>
    </x:row>
    <x:row r="19" ht="15" hidden="0" customHeight="1">
      <x:c r="A19" s="48" t="str">
        <x:v>Simple Knockout</x:v>
      </x:c>
      <x:c r="B19" s="38" t="str">
        <x:v>Semi-final</x:v>
      </x:c>
      <x:c r="C19" s="38" t="str">
        <x:v>SF1</x:v>
      </x:c>
      <x:c r="D19" s="38" t="str">
        <x:v>T001</x:v>
      </x:c>
      <x:c r="E19" s="38" t="str">
        <x:v>T004</x:v>
      </x:c>
      <x:c r="F19" s="38" t="str">
        <x:v>Fixtures</x:v>
      </x:c>
      <x:c r="G19" s="49" t="str">
        <x:v>Seeded pairing shell only.</x:v>
      </x:c>
    </x:row>
    <x:row r="20" ht="15" hidden="0" customHeight="1">
      <x:c r="A20" s="48" t="str">
        <x:v>Simple Knockout</x:v>
      </x:c>
      <x:c r="B20" s="38" t="str">
        <x:v>Semi-final</x:v>
      </x:c>
      <x:c r="C20" s="38" t="str">
        <x:v>SF2</x:v>
      </x:c>
      <x:c r="D20" s="38" t="str">
        <x:v>T002</x:v>
      </x:c>
      <x:c r="E20" s="38" t="str">
        <x:v>T003</x:v>
      </x:c>
      <x:c r="F20" s="38" t="str">
        <x:v>Fixtures</x:v>
      </x:c>
      <x:c r="G20" s="49" t="str">
        <x:v>Winner progression is future/manual scope.</x:v>
      </x:c>
    </x:row>
    <x:row r="21" ht="15" hidden="0" customHeight="1">
      <x:c r="A21" s="50" t="str">
        <x:v>Manual</x:v>
      </x:c>
      <x:c r="B21" s="51" t="str"/>
      <x:c r="C21" s="51" t="str"/>
      <x:c r="D21" s="51" t="str"/>
      <x:c r="E21" s="51" t="str"/>
      <x:c r="F21" s="51" t="str">
        <x:v>Fixtures</x:v>
      </x:c>
      <x:c r="G21" s="52" t="str">
        <x:v>Use for imports, corrections or unusual formats.</x:v>
      </x:c>
    </x:row>
  </x:sheetData>
  <x:mergeCells>
    <x:mergeCell ref="A1:H1"/>
    <x:mergeCell ref="A2:H2"/>
  </x:mergeCells>
  <x:dataValidations count="1">
    <x:dataValidation type="list" sqref="B5">
      <x:formula1>"League/Round-robin,Group Stage,Simple Knockout,Manual"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02c1d9e13774913"/>
    <x:tablePart xmlns:r="http://schemas.openxmlformats.org/officeDocument/2006/relationships" r:id="R1a5322ebc06e4f08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.380001068115234" hidden="0" customWidth="1"/>
    <x:col min="2" max="2" width="15" hidden="0" customWidth="1"/>
    <x:col min="3" max="3" width="16.5" hidden="0" customWidth="1"/>
    <x:col min="4" max="4" width="14.5" hidden="0" customWidth="1"/>
    <x:col min="5" max="5" width="18.75" hidden="0" customWidth="1"/>
    <x:col min="6" max="6" width="14.25" hidden="0" customWidth="1"/>
    <x:col min="7" max="7" width="18.5" hidden="0" customWidth="1"/>
    <x:col min="8" max="8" width="15.630000114440918" hidden="0" customWidth="1"/>
    <x:col min="9" max="9" width="15.880000114440918" hidden="0" customWidth="1"/>
    <x:col min="10" max="10" width="10.130000114440918" hidden="0" customWidth="1"/>
    <x:col min="11" max="11" width="14.380000114440918" hidden="0" customWidth="1"/>
    <x:col min="12" max="12" width="14.130000114440918" hidden="0" customWidth="1"/>
    <x:col min="13" max="13" width="47.75" hidden="0" customWidth="1"/>
    <x:col min="14" max="14" width="19.8799991607666" hidden="0" customWidth="1"/>
    <x:col min="15" max="15" width="23.1299991607666" hidden="0" customWidth="1"/>
  </x:cols>
  <x:sheetData>
    <x:row r="1" ht="15" hidden="0" customHeight="1">
      <x:c r="A1" s="47" t="str">
        <x:v>Fixtures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8" t="str">
        <x:v>Fixtures owns Match ID and official match list.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15" hidden="0" customHeight="1">
      <x:c r="A4" s="39" t="str">
        <x:v>Match ID</x:v>
      </x:c>
      <x:c r="B4" s="40" t="str">
        <x:v>Division/Group</x:v>
      </x:c>
      <x:c r="C4" s="40" t="str">
        <x:v>Round/Matchday</x:v>
      </x:c>
      <x:c r="D4" s="40" t="str">
        <x:v>Home Team ID</x:v>
      </x:c>
      <x:c r="E4" s="40" t="str">
        <x:v>Home Team Display</x:v>
      </x:c>
      <x:c r="F4" s="40" t="str">
        <x:v>Away Team ID</x:v>
      </x:c>
      <x:c r="G4" s="40" t="str">
        <x:v>Away Team Display</x:v>
      </x:c>
      <x:c r="H4" s="40" t="str">
        <x:v>Scheduled Date</x:v>
      </x:c>
      <x:c r="I4" s="40" t="str">
        <x:v>Scheduled Time</x:v>
      </x:c>
      <x:c r="J4" s="40" t="str">
        <x:v>Venue ID</x:v>
      </x:c>
      <x:c r="K4" s="40" t="str">
        <x:v>Venue Display</x:v>
      </x:c>
      <x:c r="L4" s="40" t="str">
        <x:v>Fixture Status</x:v>
      </x:c>
      <x:c r="M4" s="40" t="str">
        <x:v>Form Fixture Label</x:v>
      </x:c>
      <x:c r="N4" s="40" t="str">
        <x:v>Include In Form Sync</x:v>
      </x:c>
      <x:c r="O4" s="41" t="str">
        <x:v>Validation Flag</x:v>
      </x:c>
    </x:row>
    <x:row r="5" ht="15" hidden="0" customHeight="1">
      <x:c r="A5" s="48" t="str">
        <x:v>M001</x:v>
      </x:c>
      <x:c r="B5" s="38" t="str">
        <x:v>Group A</x:v>
      </x:c>
      <x:c r="C5" s="38" t="str">
        <x:v>MD1</x:v>
      </x:c>
      <x:c r="D5" s="38" t="str">
        <x:v>T001</x:v>
      </x:c>
      <x:c r="E5" s="38" t="str">
        <x:f>IFERROR(XLOOKUP(D5,Teams!$A$5:$A$36,Teams!$C$5:$C$36,""),D5)</x:f>
        <x:v>River Park</x:v>
      </x:c>
      <x:c r="F5" s="38" t="str">
        <x:v>T002</x:v>
      </x:c>
      <x:c r="G5" s="38" t="str">
        <x:f>IFERROR(XLOOKUP(F5,Teams!$A$5:$A$36,Teams!$C$5:$C$36,""),F5)</x:f>
        <x:v>Lakeside</x:v>
      </x:c>
      <x:c r="H5" s="60" t="n">
        <x:v>46215</x:v>
      </x:c>
      <x:c r="I5" s="38" t="str">
        <x:v>09:00</x:v>
      </x:c>
      <x:c r="J5" s="38" t="str">
        <x:v>V001</x:v>
      </x:c>
      <x:c r="K5" s="38" t="str">
        <x:f>IFERROR(XLOOKUP(J5,Venues!$A$5:$A$24,Venues!$B$5:$B$24,""),"")</x:f>
        <x:v>Pitch 1</x:v>
      </x:c>
      <x:c r="L5" s="38" t="str">
        <x:v>Played</x:v>
      </x:c>
      <x:c r="M5" s="38" t="str">
        <x:f>IF(A5="","",TEXT(H5,"yyyy-mm-dd")&amp;" | "&amp;A5&amp;" | "&amp;E5&amp;" v "&amp;G5&amp;" | "&amp;K5)</x:f>
        <x:v>2026-07-12 | M001 | River Park v Lakeside | Pitch 1</x:v>
      </x:c>
      <x:c r="N5" s="38" t="str">
        <x:f>IF(A5="","",IF(AND(L5="Scheduled",D5&lt;&gt;"TBD",F5&lt;&gt;"TBD",E5&lt;&gt;"",G5&lt;&gt;"",D5&lt;&gt;F5,J5&lt;&gt;"",K5&lt;&gt;""),"Yes","No"))</x:f>
        <x:v>No</x:v>
      </x:c>
      <x:c r="O5" s="49" t="str">
        <x:f>IF(A5="","",IF(COUNTIF($A$5:$A$204,A5)&gt;1,"Duplicate Match ID",IF(OR(D5="",F5="",J5=""),"Missing fixture field",IF(OR(D5="TBD",F5="TBD",E5="",G5=""),"Unresolved placeholder fixture",IF(D5=F5,"Home and away same",IF(K5="","Missing venue display","OK"))))))</x:f>
        <x:v>OK</x:v>
      </x:c>
    </x:row>
    <x:row r="6" ht="15" hidden="0" customHeight="1">
      <x:c r="A6" s="48" t="str">
        <x:v>M002</x:v>
      </x:c>
      <x:c r="B6" s="38" t="str">
        <x:v>Group A</x:v>
      </x:c>
      <x:c r="C6" s="38" t="str">
        <x:v>MD1</x:v>
      </x:c>
      <x:c r="D6" s="38" t="str">
        <x:v>T003</x:v>
      </x:c>
      <x:c r="E6" s="38" t="str">
        <x:f>IFERROR(XLOOKUP(D6,Teams!$A$5:$A$36,Teams!$C$5:$C$36,""),D6)</x:f>
        <x:v>Hillview</x:v>
      </x:c>
      <x:c r="F6" s="38" t="str">
        <x:v>T004</x:v>
      </x:c>
      <x:c r="G6" s="38" t="str">
        <x:f>IFERROR(XLOOKUP(F6,Teams!$A$5:$A$36,Teams!$C$5:$C$36,""),F6)</x:f>
        <x:v>Central Stars</x:v>
      </x:c>
      <x:c r="H6" s="60" t="n">
        <x:v>46215</x:v>
      </x:c>
      <x:c r="I6" s="38" t="str">
        <x:v>10:30</x:v>
      </x:c>
      <x:c r="J6" s="38" t="str">
        <x:v>V002</x:v>
      </x:c>
      <x:c r="K6" s="38" t="str">
        <x:f>IFERROR(XLOOKUP(J6,Venues!$A$5:$A$24,Venues!$B$5:$B$24,""),"")</x:f>
        <x:v>Pitch 2</x:v>
      </x:c>
      <x:c r="L6" s="38" t="str">
        <x:v>Played</x:v>
      </x:c>
      <x:c r="M6" s="38" t="str">
        <x:f>IF(A6="","",TEXT(H6,"yyyy-mm-dd")&amp;" | "&amp;A6&amp;" | "&amp;E6&amp;" v "&amp;G6&amp;" | "&amp;K6)</x:f>
        <x:v>2026-07-12 | M002 | Hillview v Central Stars | Pitch 2</x:v>
      </x:c>
      <x:c r="N6" s="38" t="str">
        <x:f>IF(A6="","",IF(AND(L6="Scheduled",D6&lt;&gt;"TBD",F6&lt;&gt;"TBD",E6&lt;&gt;"",G6&lt;&gt;"",D6&lt;&gt;F6,J6&lt;&gt;"",K6&lt;&gt;""),"Yes","No"))</x:f>
        <x:v>No</x:v>
      </x:c>
      <x:c r="O6" s="49" t="str">
        <x:f>IF(A6="","",IF(COUNTIF($A$5:$A$204,A6)&gt;1,"Duplicate Match ID",IF(OR(D6="",F6="",J6=""),"Missing fixture field",IF(OR(D6="TBD",F6="TBD",E6="",G6=""),"Unresolved placeholder fixture",IF(D6=F6,"Home and away same",IF(K6="","Missing venue display","OK"))))))</x:f>
        <x:v>OK</x:v>
      </x:c>
    </x:row>
    <x:row r="7" ht="15" hidden="0" customHeight="1">
      <x:c r="A7" s="48" t="str">
        <x:v>M003</x:v>
      </x:c>
      <x:c r="B7" s="38" t="str">
        <x:v>Group A</x:v>
      </x:c>
      <x:c r="C7" s="38" t="str">
        <x:v>MD2</x:v>
      </x:c>
      <x:c r="D7" s="38" t="str">
        <x:v>T001</x:v>
      </x:c>
      <x:c r="E7" s="38" t="str">
        <x:f>IFERROR(XLOOKUP(D7,Teams!$A$5:$A$36,Teams!$C$5:$C$36,""),D7)</x:f>
        <x:v>River Park</x:v>
      </x:c>
      <x:c r="F7" s="38" t="str">
        <x:v>T003</x:v>
      </x:c>
      <x:c r="G7" s="38" t="str">
        <x:f>IFERROR(XLOOKUP(F7,Teams!$A$5:$A$36,Teams!$C$5:$C$36,""),F7)</x:f>
        <x:v>Hillview</x:v>
      </x:c>
      <x:c r="H7" s="60" t="n">
        <x:v>46216</x:v>
      </x:c>
      <x:c r="I7" s="38" t="str">
        <x:v>09:00</x:v>
      </x:c>
      <x:c r="J7" s="38" t="str">
        <x:v>V001</x:v>
      </x:c>
      <x:c r="K7" s="38" t="str">
        <x:f>IFERROR(XLOOKUP(J7,Venues!$A$5:$A$24,Venues!$B$5:$B$24,""),"")</x:f>
        <x:v>Pitch 1</x:v>
      </x:c>
      <x:c r="L7" s="38" t="str">
        <x:v>Scheduled</x:v>
      </x:c>
      <x:c r="M7" s="38" t="str">
        <x:f>IF(A7="","",TEXT(H7,"yyyy-mm-dd")&amp;" | "&amp;A7&amp;" | "&amp;E7&amp;" v "&amp;G7&amp;" | "&amp;K7)</x:f>
        <x:v>2026-07-13 | M003 | River Park v Hillview | Pitch 1</x:v>
      </x:c>
      <x:c r="N7" s="38" t="str">
        <x:f>IF(A7="","",IF(AND(L7="Scheduled",D7&lt;&gt;"TBD",F7&lt;&gt;"TBD",E7&lt;&gt;"",G7&lt;&gt;"",D7&lt;&gt;F7,J7&lt;&gt;"",K7&lt;&gt;""),"Yes","No"))</x:f>
        <x:v>Yes</x:v>
      </x:c>
      <x:c r="O7" s="49" t="str">
        <x:f>IF(A7="","",IF(COUNTIF($A$5:$A$204,A7)&gt;1,"Duplicate Match ID",IF(OR(D7="",F7="",J7=""),"Missing fixture field",IF(OR(D7="TBD",F7="TBD",E7="",G7=""),"Unresolved placeholder fixture",IF(D7=F7,"Home and away same",IF(K7="","Missing venue display","OK"))))))</x:f>
        <x:v>OK</x:v>
      </x:c>
    </x:row>
    <x:row r="8" ht="15" hidden="0" customHeight="1">
      <x:c r="A8" s="48" t="str">
        <x:v>M004</x:v>
      </x:c>
      <x:c r="B8" s="38" t="str">
        <x:v>Group A</x:v>
      </x:c>
      <x:c r="C8" s="38" t="str">
        <x:v>MD2</x:v>
      </x:c>
      <x:c r="D8" s="38" t="str">
        <x:v>T002</x:v>
      </x:c>
      <x:c r="E8" s="38" t="str">
        <x:f>IFERROR(XLOOKUP(D8,Teams!$A$5:$A$36,Teams!$C$5:$C$36,""),D8)</x:f>
        <x:v>Lakeside</x:v>
      </x:c>
      <x:c r="F8" s="38" t="str">
        <x:v>T004</x:v>
      </x:c>
      <x:c r="G8" s="38" t="str">
        <x:f>IFERROR(XLOOKUP(F8,Teams!$A$5:$A$36,Teams!$C$5:$C$36,""),F8)</x:f>
        <x:v>Central Stars</x:v>
      </x:c>
      <x:c r="H8" s="60" t="n">
        <x:v>46216</x:v>
      </x:c>
      <x:c r="I8" s="38" t="str">
        <x:v>10:30</x:v>
      </x:c>
      <x:c r="J8" s="38" t="str">
        <x:v>V002</x:v>
      </x:c>
      <x:c r="K8" s="38" t="str">
        <x:f>IFERROR(XLOOKUP(J8,Venues!$A$5:$A$24,Venues!$B$5:$B$24,""),"")</x:f>
        <x:v>Pitch 2</x:v>
      </x:c>
      <x:c r="L8" s="38" t="str">
        <x:v>Played</x:v>
      </x:c>
      <x:c r="M8" s="38" t="str">
        <x:f>IF(A8="","",TEXT(H8,"yyyy-mm-dd")&amp;" | "&amp;A8&amp;" | "&amp;E8&amp;" v "&amp;G8&amp;" | "&amp;K8)</x:f>
        <x:v>2026-07-13 | M004 | Lakeside v Central Stars | Pitch 2</x:v>
      </x:c>
      <x:c r="N8" s="38" t="str">
        <x:f>IF(A8="","",IF(AND(L8="Scheduled",D8&lt;&gt;"TBD",F8&lt;&gt;"TBD",E8&lt;&gt;"",G8&lt;&gt;"",D8&lt;&gt;F8,J8&lt;&gt;"",K8&lt;&gt;""),"Yes","No"))</x:f>
        <x:v>No</x:v>
      </x:c>
      <x:c r="O8" s="49" t="str">
        <x:f>IF(A8="","",IF(COUNTIF($A$5:$A$204,A8)&gt;1,"Duplicate Match ID",IF(OR(D8="",F8="",J8=""),"Missing fixture field",IF(OR(D8="TBD",F8="TBD",E8="",G8=""),"Unresolved placeholder fixture",IF(D8=F8,"Home and away same",IF(K8="","Missing venue display","OK"))))))</x:f>
        <x:v>OK</x:v>
      </x:c>
    </x:row>
    <x:row r="9" ht="15" hidden="0" customHeight="1">
      <x:c r="A9" s="48" t="str">
        <x:v>M005</x:v>
      </x:c>
      <x:c r="B9" s="38" t="str">
        <x:v>Group B</x:v>
      </x:c>
      <x:c r="C9" s="38" t="str">
        <x:v>MD1</x:v>
      </x:c>
      <x:c r="D9" s="38" t="str">
        <x:v>T005</x:v>
      </x:c>
      <x:c r="E9" s="38" t="str">
        <x:f>IFERROR(XLOOKUP(D9,Teams!$A$5:$A$36,Teams!$C$5:$C$36,""),D9)</x:f>
        <x:v>North End</x:v>
      </x:c>
      <x:c r="F9" s="38" t="str">
        <x:v>T006</x:v>
      </x:c>
      <x:c r="G9" s="38" t="str">
        <x:f>IFERROR(XLOOKUP(F9,Teams!$A$5:$A$36,Teams!$C$5:$C$36,""),F9)</x:f>
        <x:v>Metro Rangers</x:v>
      </x:c>
      <x:c r="H9" s="60" t="n">
        <x:v>46215</x:v>
      </x:c>
      <x:c r="I9" s="38" t="str">
        <x:v>12:00</x:v>
      </x:c>
      <x:c r="J9" s="38" t="str">
        <x:v>V001</x:v>
      </x:c>
      <x:c r="K9" s="38" t="str">
        <x:f>IFERROR(XLOOKUP(J9,Venues!$A$5:$A$24,Venues!$B$5:$B$24,""),"")</x:f>
        <x:v>Pitch 1</x:v>
      </x:c>
      <x:c r="L9" s="38" t="str">
        <x:v>Played</x:v>
      </x:c>
      <x:c r="M9" s="38" t="str">
        <x:f>IF(A9="","",TEXT(H9,"yyyy-mm-dd")&amp;" | "&amp;A9&amp;" | "&amp;E9&amp;" v "&amp;G9&amp;" | "&amp;K9)</x:f>
        <x:v>2026-07-12 | M005 | North End v Metro Rangers | Pitch 1</x:v>
      </x:c>
      <x:c r="N9" s="38" t="str">
        <x:f>IF(A9="","",IF(AND(L9="Scheduled",D9&lt;&gt;"TBD",F9&lt;&gt;"TBD",E9&lt;&gt;"",G9&lt;&gt;"",D9&lt;&gt;F9,J9&lt;&gt;"",K9&lt;&gt;""),"Yes","No"))</x:f>
        <x:v>No</x:v>
      </x:c>
      <x:c r="O9" s="49" t="str">
        <x:f>IF(A9="","",IF(COUNTIF($A$5:$A$204,A9)&gt;1,"Duplicate Match ID",IF(OR(D9="",F9="",J9=""),"Missing fixture field",IF(OR(D9="TBD",F9="TBD",E9="",G9=""),"Unresolved placeholder fixture",IF(D9=F9,"Home and away same",IF(K9="","Missing venue display","OK"))))))</x:f>
        <x:v>OK</x:v>
      </x:c>
    </x:row>
    <x:row r="10" ht="15" hidden="0" customHeight="1">
      <x:c r="A10" s="48" t="str">
        <x:v>M006</x:v>
      </x:c>
      <x:c r="B10" s="38" t="str">
        <x:v>Group B</x:v>
      </x:c>
      <x:c r="C10" s="38" t="str">
        <x:v>MD1</x:v>
      </x:c>
      <x:c r="D10" s="38" t="str">
        <x:v>T007</x:v>
      </x:c>
      <x:c r="E10" s="38" t="str">
        <x:f>IFERROR(XLOOKUP(D10,Teams!$A$5:$A$36,Teams!$C$5:$C$36,""),D10)</x:f>
        <x:v>Eastside</x:v>
      </x:c>
      <x:c r="F10" s="38" t="str">
        <x:v>T008</x:v>
      </x:c>
      <x:c r="G10" s="38" t="str">
        <x:f>IFERROR(XLOOKUP(F10,Teams!$A$5:$A$36,Teams!$C$5:$C$36,""),F10)</x:f>
        <x:v>Westbrook</x:v>
      </x:c>
      <x:c r="H10" s="60" t="n">
        <x:v>46215</x:v>
      </x:c>
      <x:c r="I10" s="38" t="str">
        <x:v>13:30</x:v>
      </x:c>
      <x:c r="J10" s="38" t="str">
        <x:v>V002</x:v>
      </x:c>
      <x:c r="K10" s="38" t="str">
        <x:f>IFERROR(XLOOKUP(J10,Venues!$A$5:$A$24,Venues!$B$5:$B$24,""),"")</x:f>
        <x:v>Pitch 2</x:v>
      </x:c>
      <x:c r="L10" s="38" t="str">
        <x:v>Void</x:v>
      </x:c>
      <x:c r="M10" s="38" t="str">
        <x:f>IF(A10="","",TEXT(H10,"yyyy-mm-dd")&amp;" | "&amp;A10&amp;" | "&amp;E10&amp;" v "&amp;G10&amp;" | "&amp;K10)</x:f>
        <x:v>2026-07-12 | M006 | Eastside v Westbrook | Pitch 2</x:v>
      </x:c>
      <x:c r="N10" s="38" t="str">
        <x:f>IF(A10="","",IF(AND(L10="Scheduled",D10&lt;&gt;"TBD",F10&lt;&gt;"TBD",E10&lt;&gt;"",G10&lt;&gt;"",D10&lt;&gt;F10,J10&lt;&gt;"",K10&lt;&gt;""),"Yes","No"))</x:f>
        <x:v>No</x:v>
      </x:c>
      <x:c r="O10" s="49" t="str">
        <x:f>IF(A10="","",IF(COUNTIF($A$5:$A$204,A10)&gt;1,"Duplicate Match ID",IF(OR(D10="",F10="",J10=""),"Missing fixture field",IF(OR(D10="TBD",F10="TBD",E10="",G10=""),"Unresolved placeholder fixture",IF(D10=F10,"Home and away same",IF(K10="","Missing venue display","OK"))))))</x:f>
        <x:v>OK</x:v>
      </x:c>
    </x:row>
    <x:row r="11" ht="15" hidden="0" customHeight="1">
      <x:c r="A11" s="48" t="str">
        <x:v>M007</x:v>
      </x:c>
      <x:c r="B11" s="38" t="str">
        <x:v>Group B</x:v>
      </x:c>
      <x:c r="C11" s="38" t="str">
        <x:v>MD2</x:v>
      </x:c>
      <x:c r="D11" s="38" t="str">
        <x:v>T005</x:v>
      </x:c>
      <x:c r="E11" s="38" t="str">
        <x:f>IFERROR(XLOOKUP(D11,Teams!$A$5:$A$36,Teams!$C$5:$C$36,""),D11)</x:f>
        <x:v>North End</x:v>
      </x:c>
      <x:c r="F11" s="38" t="str">
        <x:v>T007</x:v>
      </x:c>
      <x:c r="G11" s="38" t="str">
        <x:f>IFERROR(XLOOKUP(F11,Teams!$A$5:$A$36,Teams!$C$5:$C$36,""),F11)</x:f>
        <x:v>Eastside</x:v>
      </x:c>
      <x:c r="H11" s="60" t="n">
        <x:v>46216</x:v>
      </x:c>
      <x:c r="I11" s="38" t="str">
        <x:v>12:00</x:v>
      </x:c>
      <x:c r="J11" s="38" t="str">
        <x:v>V001</x:v>
      </x:c>
      <x:c r="K11" s="38" t="str">
        <x:f>IFERROR(XLOOKUP(J11,Venues!$A$5:$A$24,Venues!$B$5:$B$24,""),"")</x:f>
        <x:v>Pitch 1</x:v>
      </x:c>
      <x:c r="L11" s="38" t="str">
        <x:v>Scheduled</x:v>
      </x:c>
      <x:c r="M11" s="38" t="str">
        <x:f>IF(A11="","",TEXT(H11,"yyyy-mm-dd")&amp;" | "&amp;A11&amp;" | "&amp;E11&amp;" v "&amp;G11&amp;" | "&amp;K11)</x:f>
        <x:v>2026-07-13 | M007 | North End v Eastside | Pitch 1</x:v>
      </x:c>
      <x:c r="N11" s="38" t="str">
        <x:f>IF(A11="","",IF(AND(L11="Scheduled",D11&lt;&gt;"TBD",F11&lt;&gt;"TBD",E11&lt;&gt;"",G11&lt;&gt;"",D11&lt;&gt;F11,J11&lt;&gt;"",K11&lt;&gt;""),"Yes","No"))</x:f>
        <x:v>Yes</x:v>
      </x:c>
      <x:c r="O11" s="49" t="str">
        <x:f>IF(A11="","",IF(COUNTIF($A$5:$A$204,A11)&gt;1,"Duplicate Match ID",IF(OR(D11="",F11="",J11=""),"Missing fixture field",IF(OR(D11="TBD",F11="TBD",E11="",G11=""),"Unresolved placeholder fixture",IF(D11=F11,"Home and away same",IF(K11="","Missing venue display","OK"))))))</x:f>
        <x:v>OK</x:v>
      </x:c>
    </x:row>
    <x:row r="12" ht="15" hidden="0" customHeight="1">
      <x:c r="A12" s="48" t="str">
        <x:v>M008</x:v>
      </x:c>
      <x:c r="B12" s="38" t="str">
        <x:v>Group B</x:v>
      </x:c>
      <x:c r="C12" s="38" t="str">
        <x:v>MD2</x:v>
      </x:c>
      <x:c r="D12" s="38" t="str">
        <x:v>T006</x:v>
      </x:c>
      <x:c r="E12" s="38" t="str">
        <x:f>IFERROR(XLOOKUP(D12,Teams!$A$5:$A$36,Teams!$C$5:$C$36,""),D12)</x:f>
        <x:v>Metro Rangers</x:v>
      </x:c>
      <x:c r="F12" s="38" t="str">
        <x:v>T008</x:v>
      </x:c>
      <x:c r="G12" s="38" t="str">
        <x:f>IFERROR(XLOOKUP(F12,Teams!$A$5:$A$36,Teams!$C$5:$C$36,""),F12)</x:f>
        <x:v>Westbrook</x:v>
      </x:c>
      <x:c r="H12" s="60" t="n">
        <x:v>46216</x:v>
      </x:c>
      <x:c r="I12" s="38" t="str">
        <x:v>13:30</x:v>
      </x:c>
      <x:c r="J12" s="38" t="str">
        <x:v>V002</x:v>
      </x:c>
      <x:c r="K12" s="38" t="str">
        <x:f>IFERROR(XLOOKUP(J12,Venues!$A$5:$A$24,Venues!$B$5:$B$24,""),"")</x:f>
        <x:v>Pitch 2</x:v>
      </x:c>
      <x:c r="L12" s="38" t="str">
        <x:v>Scheduled</x:v>
      </x:c>
      <x:c r="M12" s="38" t="str">
        <x:f>IF(A12="","",TEXT(H12,"yyyy-mm-dd")&amp;" | "&amp;A12&amp;" | "&amp;E12&amp;" v "&amp;G12&amp;" | "&amp;K12)</x:f>
        <x:v>2026-07-13 | M008 | Metro Rangers v Westbrook | Pitch 2</x:v>
      </x:c>
      <x:c r="N12" s="38" t="str">
        <x:f>IF(A12="","",IF(AND(L12="Scheduled",D12&lt;&gt;"TBD",F12&lt;&gt;"TBD",E12&lt;&gt;"",G12&lt;&gt;"",D12&lt;&gt;F12,J12&lt;&gt;"",K12&lt;&gt;""),"Yes","No"))</x:f>
        <x:v>Yes</x:v>
      </x:c>
      <x:c r="O12" s="49" t="str">
        <x:f>IF(A12="","",IF(COUNTIF($A$5:$A$204,A12)&gt;1,"Duplicate Match ID",IF(OR(D12="",F12="",J12=""),"Missing fixture field",IF(OR(D12="TBD",F12="TBD",E12="",G12=""),"Unresolved placeholder fixture",IF(D12=F12,"Home and away same",IF(K12="","Missing venue display","OK"))))))</x:f>
        <x:v>OK</x:v>
      </x:c>
    </x:row>
    <x:row r="13" ht="15" hidden="0" customHeight="1">
      <x:c r="A13" s="48" t="str">
        <x:v>M009</x:v>
      </x:c>
      <x:c r="B13" s="38" t="str">
        <x:v>Semi-final</x:v>
      </x:c>
      <x:c r="C13" s="38" t="str">
        <x:v>SF1</x:v>
      </x:c>
      <x:c r="D13" s="38" t="str">
        <x:v>T001</x:v>
      </x:c>
      <x:c r="E13" s="38" t="str">
        <x:f>IFERROR(XLOOKUP(D13,Teams!$A$5:$A$36,Teams!$C$5:$C$36,""),D13)</x:f>
        <x:v>River Park</x:v>
      </x:c>
      <x:c r="F13" s="38" t="str">
        <x:v>T004</x:v>
      </x:c>
      <x:c r="G13" s="38" t="str">
        <x:f>IFERROR(XLOOKUP(F13,Teams!$A$5:$A$36,Teams!$C$5:$C$36,""),F13)</x:f>
        <x:v>Central Stars</x:v>
      </x:c>
      <x:c r="H13" s="60" t="n">
        <x:v>46218</x:v>
      </x:c>
      <x:c r="I13" s="38" t="str">
        <x:v>09:00</x:v>
      </x:c>
      <x:c r="J13" s="38" t="str">
        <x:v>V003</x:v>
      </x:c>
      <x:c r="K13" s="38" t="str">
        <x:f>IFERROR(XLOOKUP(J13,Venues!$A$5:$A$24,Venues!$B$5:$B$24,""),"")</x:f>
        <x:v>School Ground</x:v>
      </x:c>
      <x:c r="L13" s="38" t="str">
        <x:v>Scheduled</x:v>
      </x:c>
      <x:c r="M13" s="38" t="str">
        <x:f>IF(A13="","",TEXT(H13,"yyyy-mm-dd")&amp;" | "&amp;A13&amp;" | "&amp;E13&amp;" v "&amp;G13&amp;" | "&amp;K13)</x:f>
        <x:v>2026-07-15 | M009 | River Park v Central Stars | School Ground</x:v>
      </x:c>
      <x:c r="N13" s="38" t="str">
        <x:f>IF(A13="","",IF(AND(L13="Scheduled",D13&lt;&gt;"TBD",F13&lt;&gt;"TBD",E13&lt;&gt;"",G13&lt;&gt;"",D13&lt;&gt;F13,J13&lt;&gt;"",K13&lt;&gt;""),"Yes","No"))</x:f>
        <x:v>Yes</x:v>
      </x:c>
      <x:c r="O13" s="49" t="str">
        <x:f>IF(A13="","",IF(COUNTIF($A$5:$A$204,A13)&gt;1,"Duplicate Match ID",IF(OR(D13="",F13="",J13=""),"Missing fixture field",IF(OR(D13="TBD",F13="TBD",E13="",G13=""),"Unresolved placeholder fixture",IF(D13=F13,"Home and away same",IF(K13="","Missing venue display","OK"))))))</x:f>
        <x:v>OK</x:v>
      </x:c>
    </x:row>
    <x:row r="14" ht="15" hidden="0" customHeight="1">
      <x:c r="A14" s="48" t="str">
        <x:v>M010</x:v>
      </x:c>
      <x:c r="B14" s="38" t="str">
        <x:v>Semi-final</x:v>
      </x:c>
      <x:c r="C14" s="38" t="str">
        <x:v>SF2</x:v>
      </x:c>
      <x:c r="D14" s="38" t="str">
        <x:v>T002</x:v>
      </x:c>
      <x:c r="E14" s="38" t="str">
        <x:f>IFERROR(XLOOKUP(D14,Teams!$A$5:$A$36,Teams!$C$5:$C$36,""),D14)</x:f>
        <x:v>Lakeside</x:v>
      </x:c>
      <x:c r="F14" s="38" t="str">
        <x:v>T003</x:v>
      </x:c>
      <x:c r="G14" s="38" t="str">
        <x:f>IFERROR(XLOOKUP(F14,Teams!$A$5:$A$36,Teams!$C$5:$C$36,""),F14)</x:f>
        <x:v>Hillview</x:v>
      </x:c>
      <x:c r="H14" s="60" t="n">
        <x:v>46218</x:v>
      </x:c>
      <x:c r="I14" s="38" t="str">
        <x:v>10:30</x:v>
      </x:c>
      <x:c r="J14" s="38" t="str">
        <x:v>V003</x:v>
      </x:c>
      <x:c r="K14" s="38" t="str">
        <x:f>IFERROR(XLOOKUP(J14,Venues!$A$5:$A$24,Venues!$B$5:$B$24,""),"")</x:f>
        <x:v>School Ground</x:v>
      </x:c>
      <x:c r="L14" s="38" t="str">
        <x:v>Scheduled</x:v>
      </x:c>
      <x:c r="M14" s="38" t="str">
        <x:f>IF(A14="","",TEXT(H14,"yyyy-mm-dd")&amp;" | "&amp;A14&amp;" | "&amp;E14&amp;" v "&amp;G14&amp;" | "&amp;K14)</x:f>
        <x:v>2026-07-15 | M010 | Lakeside v Hillview | School Ground</x:v>
      </x:c>
      <x:c r="N14" s="38" t="str">
        <x:f>IF(A14="","",IF(AND(L14="Scheduled",D14&lt;&gt;"TBD",F14&lt;&gt;"TBD",E14&lt;&gt;"",G14&lt;&gt;"",D14&lt;&gt;F14,J14&lt;&gt;"",K14&lt;&gt;""),"Yes","No"))</x:f>
        <x:v>Yes</x:v>
      </x:c>
      <x:c r="O14" s="49" t="str">
        <x:f>IF(A14="","",IF(COUNTIF($A$5:$A$204,A14)&gt;1,"Duplicate Match ID",IF(OR(D14="",F14="",J14=""),"Missing fixture field",IF(OR(D14="TBD",F14="TBD",E14="",G14=""),"Unresolved placeholder fixture",IF(D14=F14,"Home and away same",IF(K14="","Missing venue display","OK"))))))</x:f>
        <x:v>OK</x:v>
      </x:c>
    </x:row>
    <x:row r="15" ht="15" hidden="0" customHeight="1">
      <x:c r="A15" s="48" t="str">
        <x:v>M011</x:v>
      </x:c>
      <x:c r="B15" s="38" t="str">
        <x:v>Final</x:v>
      </x:c>
      <x:c r="C15" s="38" t="str">
        <x:v>Final</x:v>
      </x:c>
      <x:c r="D15" s="38" t="str">
        <x:v>TBD</x:v>
      </x:c>
      <x:c r="E15" s="38" t="str">
        <x:f>IFERROR(XLOOKUP(D15,Teams!$A$5:$A$36,Teams!$C$5:$C$36,""),D15)</x:f>
      </x:c>
      <x:c r="F15" s="38" t="str">
        <x:v>TBD</x:v>
      </x:c>
      <x:c r="G15" s="38" t="str">
        <x:f>IFERROR(XLOOKUP(F15,Teams!$A$5:$A$36,Teams!$C$5:$C$36,""),F15)</x:f>
      </x:c>
      <x:c r="H15" s="60" t="n">
        <x:v>46219</x:v>
      </x:c>
      <x:c r="I15" s="38" t="str">
        <x:v>15:00</x:v>
      </x:c>
      <x:c r="J15" s="38" t="str">
        <x:v>V004</x:v>
      </x:c>
      <x:c r="K15" s="38" t="str">
        <x:f>IFERROR(XLOOKUP(J15,Venues!$A$5:$A$24,Venues!$B$5:$B$24,""),"")</x:f>
        <x:v>Training Field</x:v>
      </x:c>
      <x:c r="L15" s="38" t="str">
        <x:v>Scheduled</x:v>
      </x:c>
      <x:c r="M15" s="38" t="str">
        <x:f>IF(A15="","",TEXT(H15,"yyyy-mm-dd")&amp;" | "&amp;A15&amp;" | "&amp;E15&amp;" v "&amp;G15&amp;" | "&amp;K15)</x:f>
        <x:v>2026-07-16 | M011 |  v  | Training Field</x:v>
      </x:c>
      <x:c r="N15" s="38" t="str">
        <x:f>IF(A15="","",IF(AND(L15="Scheduled",D15&lt;&gt;"TBD",F15&lt;&gt;"TBD",E15&lt;&gt;"",G15&lt;&gt;"",D15&lt;&gt;F15,J15&lt;&gt;"",K15&lt;&gt;""),"Yes","No"))</x:f>
        <x:v>No</x:v>
      </x:c>
      <x:c r="O15" s="49" t="str">
        <x:f>IF(A15="","",IF(COUNTIF($A$5:$A$204,A15)&gt;1,"Duplicate Match ID",IF(OR(D15="",F15="",J15=""),"Missing fixture field",IF(OR(D15="TBD",F15="TBD",E15="",G15=""),"Unresolved placeholder fixture",IF(D15=F15,"Home and away same",IF(K15="","Missing venue display","OK"))))))</x:f>
        <x:v>Unresolved placeholder fixture</x:v>
      </x:c>
    </x:row>
    <x:row r="16" ht="15" hidden="0" customHeight="1">
      <x:c r="A16" s="50" t="str">
        <x:v>M012</x:v>
      </x:c>
      <x:c r="B16" s="51" t="str">
        <x:v>Manual</x:v>
      </x:c>
      <x:c r="C16" s="51" t="str">
        <x:v>Imported</x:v>
      </x:c>
      <x:c r="D16" s="51" t="str">
        <x:v>T005</x:v>
      </x:c>
      <x:c r="E16" s="51" t="str">
        <x:f>IFERROR(XLOOKUP(D16,Teams!$A$5:$A$36,Teams!$C$5:$C$36,""),D16)</x:f>
        <x:v>North End</x:v>
      </x:c>
      <x:c r="F16" s="51" t="str">
        <x:v>T008</x:v>
      </x:c>
      <x:c r="G16" s="51" t="str">
        <x:f>IFERROR(XLOOKUP(F16,Teams!$A$5:$A$36,Teams!$C$5:$C$36,""),F16)</x:f>
        <x:v>Westbrook</x:v>
      </x:c>
      <x:c r="H16" s="61" t="n">
        <x:v>46220</x:v>
      </x:c>
      <x:c r="I16" s="51" t="str">
        <x:v>14:00</x:v>
      </x:c>
      <x:c r="J16" s="51" t="str">
        <x:v>V004</x:v>
      </x:c>
      <x:c r="K16" s="51" t="str">
        <x:f>IFERROR(XLOOKUP(J16,Venues!$A$5:$A$24,Venues!$B$5:$B$24,""),"")</x:f>
        <x:v>Training Field</x:v>
      </x:c>
      <x:c r="L16" s="51" t="str">
        <x:v>Postponed</x:v>
      </x:c>
      <x:c r="M16" s="51" t="str">
        <x:f>IF(A16="","",TEXT(H16,"yyyy-mm-dd")&amp;" | "&amp;A16&amp;" | "&amp;E16&amp;" v "&amp;G16&amp;" | "&amp;K16)</x:f>
        <x:v>2026-07-17 | M012 | North End v Westbrook | Training Field</x:v>
      </x:c>
      <x:c r="N16" s="51" t="str">
        <x:f>IF(A16="","",IF(AND(L16="Scheduled",D16&lt;&gt;"TBD",F16&lt;&gt;"TBD",E16&lt;&gt;"",G16&lt;&gt;"",D16&lt;&gt;F16,J16&lt;&gt;"",K16&lt;&gt;""),"Yes","No"))</x:f>
        <x:v>No</x:v>
      </x:c>
      <x:c r="O16" s="52" t="str">
        <x:f>IF(A16="","",IF(COUNTIF($A$5:$A$204,A16)&gt;1,"Duplicate Match ID",IF(OR(D16="",F16="",J16=""),"Missing fixture field",IF(OR(D16="TBD",F16="TBD",E16="",G16=""),"Unresolved placeholder fixture",IF(D16=F16,"Home and away same",IF(K16="","Missing venue display","OK"))))))</x:f>
        <x:v>OK</x:v>
      </x:c>
    </x:row>
    <x:row r="17" ht="15" hidden="0" customHeight="1">
      <x:c r="A17" s="38"/>
      <x:c r="B17" s="38"/>
      <x:c r="C17" s="38"/>
      <x:c r="D17" s="38"/>
      <x:c r="E17" s="38" t="str">
        <x:f>IFERROR(XLOOKUP(D17,Teams!$A$5:$A$36,Teams!$C$5:$C$36,""),D17)</x:f>
      </x:c>
      <x:c r="F17" s="38"/>
      <x:c r="G17" s="38" t="str">
        <x:f>IFERROR(XLOOKUP(F17,Teams!$A$5:$A$36,Teams!$C$5:$C$36,""),F17)</x:f>
      </x:c>
      <x:c r="H17" s="60"/>
      <x:c r="I17" s="38"/>
      <x:c r="J17" s="38"/>
      <x:c r="K17" s="38" t="str">
        <x:f>IFERROR(XLOOKUP(J17,Venues!$A$5:$A$24,Venues!$B$5:$B$24,""),"")</x:f>
      </x:c>
      <x:c r="L17" s="38"/>
      <x:c r="M17" s="38" t="str">
        <x:f>IF(A17="","",TEXT(H17,"yyyy-mm-dd")&amp;" | "&amp;A17&amp;" | "&amp;E17&amp;" v "&amp;G17&amp;" | "&amp;K17)</x:f>
      </x:c>
      <x:c r="N17" s="38" t="str">
        <x:f>IF(A17="","",IF(AND(L17="Scheduled",D17&lt;&gt;"TBD",F17&lt;&gt;"TBD",E17&lt;&gt;"",G17&lt;&gt;"",D17&lt;&gt;F17,J17&lt;&gt;"",K17&lt;&gt;""),"Yes","No"))</x:f>
      </x:c>
      <x:c r="O17" s="38" t="str">
        <x:f>IF(A17="","",IF(COUNTIF($A$5:$A$204,A17)&gt;1,"Duplicate Match ID",IF(OR(D17="",F17="",J17=""),"Missing fixture field",IF(OR(D17="TBD",F17="TBD",E17="",G17=""),"Unresolved placeholder fixture",IF(D17=F17,"Home and away same",IF(K17="","Missing venue display","OK"))))))</x:f>
      </x:c>
    </x:row>
    <x:row r="18" ht="15" hidden="0" customHeight="1">
      <x:c r="A18" s="38"/>
      <x:c r="B18" s="38"/>
      <x:c r="C18" s="38"/>
      <x:c r="D18" s="38"/>
      <x:c r="E18" s="38" t="str">
        <x:f>IFERROR(XLOOKUP(D18,Teams!$A$5:$A$36,Teams!$C$5:$C$36,""),D18)</x:f>
      </x:c>
      <x:c r="F18" s="38"/>
      <x:c r="G18" s="38" t="str">
        <x:f>IFERROR(XLOOKUP(F18,Teams!$A$5:$A$36,Teams!$C$5:$C$36,""),F18)</x:f>
      </x:c>
      <x:c r="H18" s="60"/>
      <x:c r="I18" s="38"/>
      <x:c r="J18" s="38"/>
      <x:c r="K18" s="38" t="str">
        <x:f>IFERROR(XLOOKUP(J18,Venues!$A$5:$A$24,Venues!$B$5:$B$24,""),"")</x:f>
      </x:c>
      <x:c r="L18" s="38"/>
      <x:c r="M18" s="38" t="str">
        <x:f>IF(A18="","",TEXT(H18,"yyyy-mm-dd")&amp;" | "&amp;A18&amp;" | "&amp;E18&amp;" v "&amp;G18&amp;" | "&amp;K18)</x:f>
      </x:c>
      <x:c r="N18" s="38" t="str">
        <x:f>IF(A18="","",IF(AND(L18="Scheduled",D18&lt;&gt;"TBD",F18&lt;&gt;"TBD",E18&lt;&gt;"",G18&lt;&gt;"",D18&lt;&gt;F18,J18&lt;&gt;"",K18&lt;&gt;""),"Yes","No"))</x:f>
      </x:c>
      <x:c r="O18" s="38" t="str">
        <x:f>IF(A18="","",IF(COUNTIF($A$5:$A$204,A18)&gt;1,"Duplicate Match ID",IF(OR(D18="",F18="",J18=""),"Missing fixture field",IF(OR(D18="TBD",F18="TBD",E18="",G18=""),"Unresolved placeholder fixture",IF(D18=F18,"Home and away same",IF(K18="","Missing venue display","OK"))))))</x:f>
      </x:c>
    </x:row>
    <x:row r="19" ht="15" hidden="0" customHeight="1">
      <x:c r="A19" s="38"/>
      <x:c r="B19" s="38"/>
      <x:c r="C19" s="38"/>
      <x:c r="D19" s="38"/>
      <x:c r="E19" s="38" t="str">
        <x:f>IFERROR(XLOOKUP(D19,Teams!$A$5:$A$36,Teams!$C$5:$C$36,""),D19)</x:f>
      </x:c>
      <x:c r="F19" s="38"/>
      <x:c r="G19" s="38" t="str">
        <x:f>IFERROR(XLOOKUP(F19,Teams!$A$5:$A$36,Teams!$C$5:$C$36,""),F19)</x:f>
      </x:c>
      <x:c r="H19" s="60"/>
      <x:c r="I19" s="38"/>
      <x:c r="J19" s="38"/>
      <x:c r="K19" s="38" t="str">
        <x:f>IFERROR(XLOOKUP(J19,Venues!$A$5:$A$24,Venues!$B$5:$B$24,""),"")</x:f>
      </x:c>
      <x:c r="L19" s="38"/>
      <x:c r="M19" s="38" t="str">
        <x:f>IF(A19="","",TEXT(H19,"yyyy-mm-dd")&amp;" | "&amp;A19&amp;" | "&amp;E19&amp;" v "&amp;G19&amp;" | "&amp;K19)</x:f>
      </x:c>
      <x:c r="N19" s="38" t="str">
        <x:f>IF(A19="","",IF(AND(L19="Scheduled",D19&lt;&gt;"TBD",F19&lt;&gt;"TBD",E19&lt;&gt;"",G19&lt;&gt;"",D19&lt;&gt;F19,J19&lt;&gt;"",K19&lt;&gt;""),"Yes","No"))</x:f>
      </x:c>
      <x:c r="O19" s="38" t="str">
        <x:f>IF(A19="","",IF(COUNTIF($A$5:$A$204,A19)&gt;1,"Duplicate Match ID",IF(OR(D19="",F19="",J19=""),"Missing fixture field",IF(OR(D19="TBD",F19="TBD",E19="",G19=""),"Unresolved placeholder fixture",IF(D19=F19,"Home and away same",IF(K19="","Missing venue display","OK"))))))</x:f>
      </x:c>
    </x:row>
    <x:row r="20" ht="15" hidden="0" customHeight="1">
      <x:c r="A20" s="38"/>
      <x:c r="B20" s="38"/>
      <x:c r="C20" s="38"/>
      <x:c r="D20" s="38"/>
      <x:c r="E20" s="38" t="str">
        <x:f>IFERROR(XLOOKUP(D20,Teams!$A$5:$A$36,Teams!$C$5:$C$36,""),D20)</x:f>
      </x:c>
      <x:c r="F20" s="38"/>
      <x:c r="G20" s="38" t="str">
        <x:f>IFERROR(XLOOKUP(F20,Teams!$A$5:$A$36,Teams!$C$5:$C$36,""),F20)</x:f>
      </x:c>
      <x:c r="H20" s="60"/>
      <x:c r="I20" s="38"/>
      <x:c r="J20" s="38"/>
      <x:c r="K20" s="38" t="str">
        <x:f>IFERROR(XLOOKUP(J20,Venues!$A$5:$A$24,Venues!$B$5:$B$24,""),"")</x:f>
      </x:c>
      <x:c r="L20" s="38"/>
      <x:c r="M20" s="38" t="str">
        <x:f>IF(A20="","",TEXT(H20,"yyyy-mm-dd")&amp;" | "&amp;A20&amp;" | "&amp;E20&amp;" v "&amp;G20&amp;" | "&amp;K20)</x:f>
      </x:c>
      <x:c r="N20" s="38" t="str">
        <x:f>IF(A20="","",IF(AND(L20="Scheduled",D20&lt;&gt;"TBD",F20&lt;&gt;"TBD",E20&lt;&gt;"",G20&lt;&gt;"",D20&lt;&gt;F20,J20&lt;&gt;"",K20&lt;&gt;""),"Yes","No"))</x:f>
      </x:c>
      <x:c r="O20" s="38" t="str">
        <x:f>IF(A20="","",IF(COUNTIF($A$5:$A$204,A20)&gt;1,"Duplicate Match ID",IF(OR(D20="",F20="",J20=""),"Missing fixture field",IF(OR(D20="TBD",F20="TBD",E20="",G20=""),"Unresolved placeholder fixture",IF(D20=F20,"Home and away same",IF(K20="","Missing venue display","OK"))))))</x:f>
      </x:c>
    </x:row>
    <x:row r="21" ht="15" hidden="0" customHeight="1">
      <x:c r="A21" s="38"/>
      <x:c r="B21" s="38"/>
      <x:c r="C21" s="38"/>
      <x:c r="D21" s="38"/>
      <x:c r="E21" s="38" t="str">
        <x:f>IFERROR(XLOOKUP(D21,Teams!$A$5:$A$36,Teams!$C$5:$C$36,""),D21)</x:f>
      </x:c>
      <x:c r="F21" s="38"/>
      <x:c r="G21" s="38" t="str">
        <x:f>IFERROR(XLOOKUP(F21,Teams!$A$5:$A$36,Teams!$C$5:$C$36,""),F21)</x:f>
      </x:c>
      <x:c r="H21" s="60"/>
      <x:c r="I21" s="38"/>
      <x:c r="J21" s="38"/>
      <x:c r="K21" s="38" t="str">
        <x:f>IFERROR(XLOOKUP(J21,Venues!$A$5:$A$24,Venues!$B$5:$B$24,""),"")</x:f>
      </x:c>
      <x:c r="L21" s="38"/>
      <x:c r="M21" s="38" t="str">
        <x:f>IF(A21="","",TEXT(H21,"yyyy-mm-dd")&amp;" | "&amp;A21&amp;" | "&amp;E21&amp;" v "&amp;G21&amp;" | "&amp;K21)</x:f>
      </x:c>
      <x:c r="N21" s="38" t="str">
        <x:f>IF(A21="","",IF(AND(L21="Scheduled",D21&lt;&gt;"TBD",F21&lt;&gt;"TBD",E21&lt;&gt;"",G21&lt;&gt;"",D21&lt;&gt;F21,J21&lt;&gt;"",K21&lt;&gt;""),"Yes","No"))</x:f>
      </x:c>
      <x:c r="O21" s="38" t="str">
        <x:f>IF(A21="","",IF(COUNTIF($A$5:$A$204,A21)&gt;1,"Duplicate Match ID",IF(OR(D21="",F21="",J21=""),"Missing fixture field",IF(OR(D21="TBD",F21="TBD",E21="",G21=""),"Unresolved placeholder fixture",IF(D21=F21,"Home and away same",IF(K21="","Missing venue display","OK"))))))</x:f>
      </x:c>
    </x:row>
    <x:row r="22" ht="15" hidden="0" customHeight="1">
      <x:c r="A22" s="38"/>
      <x:c r="B22" s="38"/>
      <x:c r="C22" s="38"/>
      <x:c r="D22" s="38"/>
      <x:c r="E22" s="38" t="str">
        <x:f>IFERROR(XLOOKUP(D22,Teams!$A$5:$A$36,Teams!$C$5:$C$36,""),D22)</x:f>
      </x:c>
      <x:c r="F22" s="38"/>
      <x:c r="G22" s="38" t="str">
        <x:f>IFERROR(XLOOKUP(F22,Teams!$A$5:$A$36,Teams!$C$5:$C$36,""),F22)</x:f>
      </x:c>
      <x:c r="H22" s="60"/>
      <x:c r="I22" s="38"/>
      <x:c r="J22" s="38"/>
      <x:c r="K22" s="38" t="str">
        <x:f>IFERROR(XLOOKUP(J22,Venues!$A$5:$A$24,Venues!$B$5:$B$24,""),"")</x:f>
      </x:c>
      <x:c r="L22" s="38"/>
      <x:c r="M22" s="38" t="str">
        <x:f>IF(A22="","",TEXT(H22,"yyyy-mm-dd")&amp;" | "&amp;A22&amp;" | "&amp;E22&amp;" v "&amp;G22&amp;" | "&amp;K22)</x:f>
      </x:c>
      <x:c r="N22" s="38" t="str">
        <x:f>IF(A22="","",IF(AND(L22="Scheduled",D22&lt;&gt;"TBD",F22&lt;&gt;"TBD",E22&lt;&gt;"",G22&lt;&gt;"",D22&lt;&gt;F22,J22&lt;&gt;"",K22&lt;&gt;""),"Yes","No"))</x:f>
      </x:c>
      <x:c r="O22" s="38" t="str">
        <x:f>IF(A22="","",IF(COUNTIF($A$5:$A$204,A22)&gt;1,"Duplicate Match ID",IF(OR(D22="",F22="",J22=""),"Missing fixture field",IF(OR(D22="TBD",F22="TBD",E22="",G22=""),"Unresolved placeholder fixture",IF(D22=F22,"Home and away same",IF(K22="","Missing venue display","OK"))))))</x:f>
      </x:c>
    </x:row>
    <x:row r="23" ht="15" hidden="0" customHeight="1">
      <x:c r="A23" s="38"/>
      <x:c r="B23" s="38"/>
      <x:c r="C23" s="38"/>
      <x:c r="D23" s="38"/>
      <x:c r="E23" s="38" t="str">
        <x:f>IFERROR(XLOOKUP(D23,Teams!$A$5:$A$36,Teams!$C$5:$C$36,""),D23)</x:f>
      </x:c>
      <x:c r="F23" s="38"/>
      <x:c r="G23" s="38" t="str">
        <x:f>IFERROR(XLOOKUP(F23,Teams!$A$5:$A$36,Teams!$C$5:$C$36,""),F23)</x:f>
      </x:c>
      <x:c r="H23" s="60"/>
      <x:c r="I23" s="38"/>
      <x:c r="J23" s="38"/>
      <x:c r="K23" s="38" t="str">
        <x:f>IFERROR(XLOOKUP(J23,Venues!$A$5:$A$24,Venues!$B$5:$B$24,""),"")</x:f>
      </x:c>
      <x:c r="L23" s="38"/>
      <x:c r="M23" s="38" t="str">
        <x:f>IF(A23="","",TEXT(H23,"yyyy-mm-dd")&amp;" | "&amp;A23&amp;" | "&amp;E23&amp;" v "&amp;G23&amp;" | "&amp;K23)</x:f>
      </x:c>
      <x:c r="N23" s="38" t="str">
        <x:f>IF(A23="","",IF(AND(L23="Scheduled",D23&lt;&gt;"TBD",F23&lt;&gt;"TBD",E23&lt;&gt;"",G23&lt;&gt;"",D23&lt;&gt;F23,J23&lt;&gt;"",K23&lt;&gt;""),"Yes","No"))</x:f>
      </x:c>
      <x:c r="O23" s="38" t="str">
        <x:f>IF(A23="","",IF(COUNTIF($A$5:$A$204,A23)&gt;1,"Duplicate Match ID",IF(OR(D23="",F23="",J23=""),"Missing fixture field",IF(OR(D23="TBD",F23="TBD",E23="",G23=""),"Unresolved placeholder fixture",IF(D23=F23,"Home and away same",IF(K23="","Missing venue display","OK"))))))</x:f>
      </x:c>
    </x:row>
    <x:row r="24" ht="15" hidden="0" customHeight="1">
      <x:c r="A24" s="38"/>
      <x:c r="B24" s="38"/>
      <x:c r="C24" s="38"/>
      <x:c r="D24" s="38"/>
      <x:c r="E24" s="38" t="str">
        <x:f>IFERROR(XLOOKUP(D24,Teams!$A$5:$A$36,Teams!$C$5:$C$36,""),D24)</x:f>
      </x:c>
      <x:c r="F24" s="38"/>
      <x:c r="G24" s="38" t="str">
        <x:f>IFERROR(XLOOKUP(F24,Teams!$A$5:$A$36,Teams!$C$5:$C$36,""),F24)</x:f>
      </x:c>
      <x:c r="H24" s="60"/>
      <x:c r="I24" s="38"/>
      <x:c r="J24" s="38"/>
      <x:c r="K24" s="38" t="str">
        <x:f>IFERROR(XLOOKUP(J24,Venues!$A$5:$A$24,Venues!$B$5:$B$24,""),"")</x:f>
      </x:c>
      <x:c r="L24" s="38"/>
      <x:c r="M24" s="38" t="str">
        <x:f>IF(A24="","",TEXT(H24,"yyyy-mm-dd")&amp;" | "&amp;A24&amp;" | "&amp;E24&amp;" v "&amp;G24&amp;" | "&amp;K24)</x:f>
      </x:c>
      <x:c r="N24" s="38" t="str">
        <x:f>IF(A24="","",IF(AND(L24="Scheduled",D24&lt;&gt;"TBD",F24&lt;&gt;"TBD",E24&lt;&gt;"",G24&lt;&gt;"",D24&lt;&gt;F24,J24&lt;&gt;"",K24&lt;&gt;""),"Yes","No"))</x:f>
      </x:c>
      <x:c r="O24" s="38" t="str">
        <x:f>IF(A24="","",IF(COUNTIF($A$5:$A$204,A24)&gt;1,"Duplicate Match ID",IF(OR(D24="",F24="",J24=""),"Missing fixture field",IF(OR(D24="TBD",F24="TBD",E24="",G24=""),"Unresolved placeholder fixture",IF(D24=F24,"Home and away same",IF(K24="","Missing venue display","OK"))))))</x:f>
      </x:c>
    </x:row>
    <x:row r="25" ht="15" hidden="0" customHeight="1">
      <x:c r="A25" s="38"/>
      <x:c r="B25" s="38"/>
      <x:c r="C25" s="38"/>
      <x:c r="D25" s="38"/>
      <x:c r="E25" s="38" t="str">
        <x:f>IFERROR(XLOOKUP(D25,Teams!$A$5:$A$36,Teams!$C$5:$C$36,""),D25)</x:f>
      </x:c>
      <x:c r="F25" s="38"/>
      <x:c r="G25" s="38" t="str">
        <x:f>IFERROR(XLOOKUP(F25,Teams!$A$5:$A$36,Teams!$C$5:$C$36,""),F25)</x:f>
      </x:c>
      <x:c r="H25" s="60"/>
      <x:c r="I25" s="38"/>
      <x:c r="J25" s="38"/>
      <x:c r="K25" s="38" t="str">
        <x:f>IFERROR(XLOOKUP(J25,Venues!$A$5:$A$24,Venues!$B$5:$B$24,""),"")</x:f>
      </x:c>
      <x:c r="L25" s="38"/>
      <x:c r="M25" s="38" t="str">
        <x:f>IF(A25="","",TEXT(H25,"yyyy-mm-dd")&amp;" | "&amp;A25&amp;" | "&amp;E25&amp;" v "&amp;G25&amp;" | "&amp;K25)</x:f>
      </x:c>
      <x:c r="N25" s="38" t="str">
        <x:f>IF(A25="","",IF(AND(L25="Scheduled",D25&lt;&gt;"TBD",F25&lt;&gt;"TBD",E25&lt;&gt;"",G25&lt;&gt;"",D25&lt;&gt;F25,J25&lt;&gt;"",K25&lt;&gt;""),"Yes","No"))</x:f>
      </x:c>
      <x:c r="O25" s="38" t="str">
        <x:f>IF(A25="","",IF(COUNTIF($A$5:$A$204,A25)&gt;1,"Duplicate Match ID",IF(OR(D25="",F25="",J25=""),"Missing fixture field",IF(OR(D25="TBD",F25="TBD",E25="",G25=""),"Unresolved placeholder fixture",IF(D25=F25,"Home and away same",IF(K25="","Missing venue display","OK"))))))</x:f>
      </x:c>
    </x:row>
    <x:row r="26" ht="15" hidden="0" customHeight="1">
      <x:c r="A26" s="38"/>
      <x:c r="B26" s="38"/>
      <x:c r="C26" s="38"/>
      <x:c r="D26" s="38"/>
      <x:c r="E26" s="38" t="str">
        <x:f>IFERROR(XLOOKUP(D26,Teams!$A$5:$A$36,Teams!$C$5:$C$36,""),D26)</x:f>
      </x:c>
      <x:c r="F26" s="38"/>
      <x:c r="G26" s="38" t="str">
        <x:f>IFERROR(XLOOKUP(F26,Teams!$A$5:$A$36,Teams!$C$5:$C$36,""),F26)</x:f>
      </x:c>
      <x:c r="H26" s="60"/>
      <x:c r="I26" s="38"/>
      <x:c r="J26" s="38"/>
      <x:c r="K26" s="38" t="str">
        <x:f>IFERROR(XLOOKUP(J26,Venues!$A$5:$A$24,Venues!$B$5:$B$24,""),"")</x:f>
      </x:c>
      <x:c r="L26" s="38"/>
      <x:c r="M26" s="38" t="str">
        <x:f>IF(A26="","",TEXT(H26,"yyyy-mm-dd")&amp;" | "&amp;A26&amp;" | "&amp;E26&amp;" v "&amp;G26&amp;" | "&amp;K26)</x:f>
      </x:c>
      <x:c r="N26" s="38" t="str">
        <x:f>IF(A26="","",IF(AND(L26="Scheduled",D26&lt;&gt;"TBD",F26&lt;&gt;"TBD",E26&lt;&gt;"",G26&lt;&gt;"",D26&lt;&gt;F26,J26&lt;&gt;"",K26&lt;&gt;""),"Yes","No"))</x:f>
      </x:c>
      <x:c r="O26" s="38" t="str">
        <x:f>IF(A26="","",IF(COUNTIF($A$5:$A$204,A26)&gt;1,"Duplicate Match ID",IF(OR(D26="",F26="",J26=""),"Missing fixture field",IF(OR(D26="TBD",F26="TBD",E26="",G26=""),"Unresolved placeholder fixture",IF(D26=F26,"Home and away same",IF(K26="","Missing venue display","OK"))))))</x:f>
      </x:c>
    </x:row>
    <x:row r="27" ht="15" hidden="0" customHeight="1">
      <x:c r="A27" s="38"/>
      <x:c r="B27" s="38"/>
      <x:c r="C27" s="38"/>
      <x:c r="D27" s="38"/>
      <x:c r="E27" s="38" t="str">
        <x:f>IFERROR(XLOOKUP(D27,Teams!$A$5:$A$36,Teams!$C$5:$C$36,""),D27)</x:f>
      </x:c>
      <x:c r="F27" s="38"/>
      <x:c r="G27" s="38" t="str">
        <x:f>IFERROR(XLOOKUP(F27,Teams!$A$5:$A$36,Teams!$C$5:$C$36,""),F27)</x:f>
      </x:c>
      <x:c r="H27" s="60"/>
      <x:c r="I27" s="38"/>
      <x:c r="J27" s="38"/>
      <x:c r="K27" s="38" t="str">
        <x:f>IFERROR(XLOOKUP(J27,Venues!$A$5:$A$24,Venues!$B$5:$B$24,""),"")</x:f>
      </x:c>
      <x:c r="L27" s="38"/>
      <x:c r="M27" s="38" t="str">
        <x:f>IF(A27="","",TEXT(H27,"yyyy-mm-dd")&amp;" | "&amp;A27&amp;" | "&amp;E27&amp;" v "&amp;G27&amp;" | "&amp;K27)</x:f>
      </x:c>
      <x:c r="N27" s="38" t="str">
        <x:f>IF(A27="","",IF(AND(L27="Scheduled",D27&lt;&gt;"TBD",F27&lt;&gt;"TBD",E27&lt;&gt;"",G27&lt;&gt;"",D27&lt;&gt;F27,J27&lt;&gt;"",K27&lt;&gt;""),"Yes","No"))</x:f>
      </x:c>
      <x:c r="O27" s="38" t="str">
        <x:f>IF(A27="","",IF(COUNTIF($A$5:$A$204,A27)&gt;1,"Duplicate Match ID",IF(OR(D27="",F27="",J27=""),"Missing fixture field",IF(OR(D27="TBD",F27="TBD",E27="",G27=""),"Unresolved placeholder fixture",IF(D27=F27,"Home and away same",IF(K27="","Missing venue display","OK"))))))</x:f>
      </x:c>
    </x:row>
    <x:row r="28" ht="15" hidden="0" customHeight="1">
      <x:c r="A28" s="38"/>
      <x:c r="B28" s="38"/>
      <x:c r="C28" s="38"/>
      <x:c r="D28" s="38"/>
      <x:c r="E28" s="38" t="str">
        <x:f>IFERROR(XLOOKUP(D28,Teams!$A$5:$A$36,Teams!$C$5:$C$36,""),D28)</x:f>
      </x:c>
      <x:c r="F28" s="38"/>
      <x:c r="G28" s="38" t="str">
        <x:f>IFERROR(XLOOKUP(F28,Teams!$A$5:$A$36,Teams!$C$5:$C$36,""),F28)</x:f>
      </x:c>
      <x:c r="H28" s="60"/>
      <x:c r="I28" s="38"/>
      <x:c r="J28" s="38"/>
      <x:c r="K28" s="38" t="str">
        <x:f>IFERROR(XLOOKUP(J28,Venues!$A$5:$A$24,Venues!$B$5:$B$24,""),"")</x:f>
      </x:c>
      <x:c r="L28" s="38"/>
      <x:c r="M28" s="38" t="str">
        <x:f>IF(A28="","",TEXT(H28,"yyyy-mm-dd")&amp;" | "&amp;A28&amp;" | "&amp;E28&amp;" v "&amp;G28&amp;" | "&amp;K28)</x:f>
      </x:c>
      <x:c r="N28" s="38" t="str">
        <x:f>IF(A28="","",IF(AND(L28="Scheduled",D28&lt;&gt;"TBD",F28&lt;&gt;"TBD",E28&lt;&gt;"",G28&lt;&gt;"",D28&lt;&gt;F28,J28&lt;&gt;"",K28&lt;&gt;""),"Yes","No"))</x:f>
      </x:c>
      <x:c r="O28" s="38" t="str">
        <x:f>IF(A28="","",IF(COUNTIF($A$5:$A$204,A28)&gt;1,"Duplicate Match ID",IF(OR(D28="",F28="",J28=""),"Missing fixture field",IF(OR(D28="TBD",F28="TBD",E28="",G28=""),"Unresolved placeholder fixture",IF(D28=F28,"Home and away same",IF(K28="","Missing venue display","OK"))))))</x:f>
      </x:c>
    </x:row>
    <x:row r="29" ht="15" hidden="0" customHeight="1">
      <x:c r="A29" s="38"/>
      <x:c r="B29" s="38"/>
      <x:c r="C29" s="38"/>
      <x:c r="D29" s="38"/>
      <x:c r="E29" s="38" t="str">
        <x:f>IFERROR(XLOOKUP(D29,Teams!$A$5:$A$36,Teams!$C$5:$C$36,""),D29)</x:f>
      </x:c>
      <x:c r="F29" s="38"/>
      <x:c r="G29" s="38" t="str">
        <x:f>IFERROR(XLOOKUP(F29,Teams!$A$5:$A$36,Teams!$C$5:$C$36,""),F29)</x:f>
      </x:c>
      <x:c r="H29" s="60"/>
      <x:c r="I29" s="38"/>
      <x:c r="J29" s="38"/>
      <x:c r="K29" s="38" t="str">
        <x:f>IFERROR(XLOOKUP(J29,Venues!$A$5:$A$24,Venues!$B$5:$B$24,""),"")</x:f>
      </x:c>
      <x:c r="L29" s="38"/>
      <x:c r="M29" s="38" t="str">
        <x:f>IF(A29="","",TEXT(H29,"yyyy-mm-dd")&amp;" | "&amp;A29&amp;" | "&amp;E29&amp;" v "&amp;G29&amp;" | "&amp;K29)</x:f>
      </x:c>
      <x:c r="N29" s="38" t="str">
        <x:f>IF(A29="","",IF(AND(L29="Scheduled",D29&lt;&gt;"TBD",F29&lt;&gt;"TBD",E29&lt;&gt;"",G29&lt;&gt;"",D29&lt;&gt;F29,J29&lt;&gt;"",K29&lt;&gt;""),"Yes","No"))</x:f>
      </x:c>
      <x:c r="O29" s="38" t="str">
        <x:f>IF(A29="","",IF(COUNTIF($A$5:$A$204,A29)&gt;1,"Duplicate Match ID",IF(OR(D29="",F29="",J29=""),"Missing fixture field",IF(OR(D29="TBD",F29="TBD",E29="",G29=""),"Unresolved placeholder fixture",IF(D29=F29,"Home and away same",IF(K29="","Missing venue display","OK"))))))</x:f>
      </x:c>
    </x:row>
    <x:row r="30" ht="15" hidden="0" customHeight="1">
      <x:c r="A30" s="38"/>
      <x:c r="B30" s="38"/>
      <x:c r="C30" s="38"/>
      <x:c r="D30" s="38"/>
      <x:c r="E30" s="38" t="str">
        <x:f>IFERROR(XLOOKUP(D30,Teams!$A$5:$A$36,Teams!$C$5:$C$36,""),D30)</x:f>
      </x:c>
      <x:c r="F30" s="38"/>
      <x:c r="G30" s="38" t="str">
        <x:f>IFERROR(XLOOKUP(F30,Teams!$A$5:$A$36,Teams!$C$5:$C$36,""),F30)</x:f>
      </x:c>
      <x:c r="H30" s="60"/>
      <x:c r="I30" s="38"/>
      <x:c r="J30" s="38"/>
      <x:c r="K30" s="38" t="str">
        <x:f>IFERROR(XLOOKUP(J30,Venues!$A$5:$A$24,Venues!$B$5:$B$24,""),"")</x:f>
      </x:c>
      <x:c r="L30" s="38"/>
      <x:c r="M30" s="38" t="str">
        <x:f>IF(A30="","",TEXT(H30,"yyyy-mm-dd")&amp;" | "&amp;A30&amp;" | "&amp;E30&amp;" v "&amp;G30&amp;" | "&amp;K30)</x:f>
      </x:c>
      <x:c r="N30" s="38" t="str">
        <x:f>IF(A30="","",IF(AND(L30="Scheduled",D30&lt;&gt;"TBD",F30&lt;&gt;"TBD",E30&lt;&gt;"",G30&lt;&gt;"",D30&lt;&gt;F30,J30&lt;&gt;"",K30&lt;&gt;""),"Yes","No"))</x:f>
      </x:c>
      <x:c r="O30" s="38" t="str">
        <x:f>IF(A30="","",IF(COUNTIF($A$5:$A$204,A30)&gt;1,"Duplicate Match ID",IF(OR(D30="",F30="",J30=""),"Missing fixture field",IF(OR(D30="TBD",F30="TBD",E30="",G30=""),"Unresolved placeholder fixture",IF(D30=F30,"Home and away same",IF(K30="","Missing venue display","OK"))))))</x:f>
      </x:c>
    </x:row>
    <x:row r="31" ht="15" hidden="0" customHeight="1">
      <x:c r="A31" s="38"/>
      <x:c r="B31" s="38"/>
      <x:c r="C31" s="38"/>
      <x:c r="D31" s="38"/>
      <x:c r="E31" s="38" t="str">
        <x:f>IFERROR(XLOOKUP(D31,Teams!$A$5:$A$36,Teams!$C$5:$C$36,""),D31)</x:f>
      </x:c>
      <x:c r="F31" s="38"/>
      <x:c r="G31" s="38" t="str">
        <x:f>IFERROR(XLOOKUP(F31,Teams!$A$5:$A$36,Teams!$C$5:$C$36,""),F31)</x:f>
      </x:c>
      <x:c r="H31" s="60"/>
      <x:c r="I31" s="38"/>
      <x:c r="J31" s="38"/>
      <x:c r="K31" s="38" t="str">
        <x:f>IFERROR(XLOOKUP(J31,Venues!$A$5:$A$24,Venues!$B$5:$B$24,""),"")</x:f>
      </x:c>
      <x:c r="L31" s="38"/>
      <x:c r="M31" s="38" t="str">
        <x:f>IF(A31="","",TEXT(H31,"yyyy-mm-dd")&amp;" | "&amp;A31&amp;" | "&amp;E31&amp;" v "&amp;G31&amp;" | "&amp;K31)</x:f>
      </x:c>
      <x:c r="N31" s="38" t="str">
        <x:f>IF(A31="","",IF(AND(L31="Scheduled",D31&lt;&gt;"TBD",F31&lt;&gt;"TBD",E31&lt;&gt;"",G31&lt;&gt;"",D31&lt;&gt;F31,J31&lt;&gt;"",K31&lt;&gt;""),"Yes","No"))</x:f>
      </x:c>
      <x:c r="O31" s="38" t="str">
        <x:f>IF(A31="","",IF(COUNTIF($A$5:$A$204,A31)&gt;1,"Duplicate Match ID",IF(OR(D31="",F31="",J31=""),"Missing fixture field",IF(OR(D31="TBD",F31="TBD",E31="",G31=""),"Unresolved placeholder fixture",IF(D31=F31,"Home and away same",IF(K31="","Missing venue display","OK"))))))</x:f>
      </x:c>
    </x:row>
    <x:row r="32" ht="15" hidden="0" customHeight="1">
      <x:c r="A32" s="38"/>
      <x:c r="B32" s="38"/>
      <x:c r="C32" s="38"/>
      <x:c r="D32" s="38"/>
      <x:c r="E32" s="38" t="str">
        <x:f>IFERROR(XLOOKUP(D32,Teams!$A$5:$A$36,Teams!$C$5:$C$36,""),D32)</x:f>
      </x:c>
      <x:c r="F32" s="38"/>
      <x:c r="G32" s="38" t="str">
        <x:f>IFERROR(XLOOKUP(F32,Teams!$A$5:$A$36,Teams!$C$5:$C$36,""),F32)</x:f>
      </x:c>
      <x:c r="H32" s="60"/>
      <x:c r="I32" s="38"/>
      <x:c r="J32" s="38"/>
      <x:c r="K32" s="38" t="str">
        <x:f>IFERROR(XLOOKUP(J32,Venues!$A$5:$A$24,Venues!$B$5:$B$24,""),"")</x:f>
      </x:c>
      <x:c r="L32" s="38"/>
      <x:c r="M32" s="38" t="str">
        <x:f>IF(A32="","",TEXT(H32,"yyyy-mm-dd")&amp;" | "&amp;A32&amp;" | "&amp;E32&amp;" v "&amp;G32&amp;" | "&amp;K32)</x:f>
      </x:c>
      <x:c r="N32" s="38" t="str">
        <x:f>IF(A32="","",IF(AND(L32="Scheduled",D32&lt;&gt;"TBD",F32&lt;&gt;"TBD",E32&lt;&gt;"",G32&lt;&gt;"",D32&lt;&gt;F32,J32&lt;&gt;"",K32&lt;&gt;""),"Yes","No"))</x:f>
      </x:c>
      <x:c r="O32" s="38" t="str">
        <x:f>IF(A32="","",IF(COUNTIF($A$5:$A$204,A32)&gt;1,"Duplicate Match ID",IF(OR(D32="",F32="",J32=""),"Missing fixture field",IF(OR(D32="TBD",F32="TBD",E32="",G32=""),"Unresolved placeholder fixture",IF(D32=F32,"Home and away same",IF(K32="","Missing venue display","OK"))))))</x:f>
      </x:c>
    </x:row>
    <x:row r="33" ht="15" hidden="0" customHeight="1">
      <x:c r="A33" s="38"/>
      <x:c r="B33" s="38"/>
      <x:c r="C33" s="38"/>
      <x:c r="D33" s="38"/>
      <x:c r="E33" s="38" t="str">
        <x:f>IFERROR(XLOOKUP(D33,Teams!$A$5:$A$36,Teams!$C$5:$C$36,""),D33)</x:f>
      </x:c>
      <x:c r="F33" s="38"/>
      <x:c r="G33" s="38" t="str">
        <x:f>IFERROR(XLOOKUP(F33,Teams!$A$5:$A$36,Teams!$C$5:$C$36,""),F33)</x:f>
      </x:c>
      <x:c r="H33" s="60"/>
      <x:c r="I33" s="38"/>
      <x:c r="J33" s="38"/>
      <x:c r="K33" s="38" t="str">
        <x:f>IFERROR(XLOOKUP(J33,Venues!$A$5:$A$24,Venues!$B$5:$B$24,""),"")</x:f>
      </x:c>
      <x:c r="L33" s="38"/>
      <x:c r="M33" s="38" t="str">
        <x:f>IF(A33="","",TEXT(H33,"yyyy-mm-dd")&amp;" | "&amp;A33&amp;" | "&amp;E33&amp;" v "&amp;G33&amp;" | "&amp;K33)</x:f>
      </x:c>
      <x:c r="N33" s="38" t="str">
        <x:f>IF(A33="","",IF(AND(L33="Scheduled",D33&lt;&gt;"TBD",F33&lt;&gt;"TBD",E33&lt;&gt;"",G33&lt;&gt;"",D33&lt;&gt;F33,J33&lt;&gt;"",K33&lt;&gt;""),"Yes","No"))</x:f>
      </x:c>
      <x:c r="O33" s="38" t="str">
        <x:f>IF(A33="","",IF(COUNTIF($A$5:$A$204,A33)&gt;1,"Duplicate Match ID",IF(OR(D33="",F33="",J33=""),"Missing fixture field",IF(OR(D33="TBD",F33="TBD",E33="",G33=""),"Unresolved placeholder fixture",IF(D33=F33,"Home and away same",IF(K33="","Missing venue display","OK"))))))</x:f>
      </x:c>
    </x:row>
    <x:row r="34" ht="15" hidden="0" customHeight="1">
      <x:c r="A34" s="38"/>
      <x:c r="B34" s="38"/>
      <x:c r="C34" s="38"/>
      <x:c r="D34" s="38"/>
      <x:c r="E34" s="38" t="str">
        <x:f>IFERROR(XLOOKUP(D34,Teams!$A$5:$A$36,Teams!$C$5:$C$36,""),D34)</x:f>
      </x:c>
      <x:c r="F34" s="38"/>
      <x:c r="G34" s="38" t="str">
        <x:f>IFERROR(XLOOKUP(F34,Teams!$A$5:$A$36,Teams!$C$5:$C$36,""),F34)</x:f>
      </x:c>
      <x:c r="H34" s="60"/>
      <x:c r="I34" s="38"/>
      <x:c r="J34" s="38"/>
      <x:c r="K34" s="38" t="str">
        <x:f>IFERROR(XLOOKUP(J34,Venues!$A$5:$A$24,Venues!$B$5:$B$24,""),"")</x:f>
      </x:c>
      <x:c r="L34" s="38"/>
      <x:c r="M34" s="38" t="str">
        <x:f>IF(A34="","",TEXT(H34,"yyyy-mm-dd")&amp;" | "&amp;A34&amp;" | "&amp;E34&amp;" v "&amp;G34&amp;" | "&amp;K34)</x:f>
      </x:c>
      <x:c r="N34" s="38" t="str">
        <x:f>IF(A34="","",IF(AND(L34="Scheduled",D34&lt;&gt;"TBD",F34&lt;&gt;"TBD",E34&lt;&gt;"",G34&lt;&gt;"",D34&lt;&gt;F34,J34&lt;&gt;"",K34&lt;&gt;""),"Yes","No"))</x:f>
      </x:c>
      <x:c r="O34" s="38" t="str">
        <x:f>IF(A34="","",IF(COUNTIF($A$5:$A$204,A34)&gt;1,"Duplicate Match ID",IF(OR(D34="",F34="",J34=""),"Missing fixture field",IF(OR(D34="TBD",F34="TBD",E34="",G34=""),"Unresolved placeholder fixture",IF(D34=F34,"Home and away same",IF(K34="","Missing venue display","OK"))))))</x:f>
      </x:c>
    </x:row>
    <x:row r="35" ht="15" hidden="0" customHeight="1">
      <x:c r="A35" s="38"/>
      <x:c r="B35" s="38"/>
      <x:c r="C35" s="38"/>
      <x:c r="D35" s="38"/>
      <x:c r="E35" s="38" t="str">
        <x:f>IFERROR(XLOOKUP(D35,Teams!$A$5:$A$36,Teams!$C$5:$C$36,""),D35)</x:f>
      </x:c>
      <x:c r="F35" s="38"/>
      <x:c r="G35" s="38" t="str">
        <x:f>IFERROR(XLOOKUP(F35,Teams!$A$5:$A$36,Teams!$C$5:$C$36,""),F35)</x:f>
      </x:c>
      <x:c r="H35" s="60"/>
      <x:c r="I35" s="38"/>
      <x:c r="J35" s="38"/>
      <x:c r="K35" s="38" t="str">
        <x:f>IFERROR(XLOOKUP(J35,Venues!$A$5:$A$24,Venues!$B$5:$B$24,""),"")</x:f>
      </x:c>
      <x:c r="L35" s="38"/>
      <x:c r="M35" s="38" t="str">
        <x:f>IF(A35="","",TEXT(H35,"yyyy-mm-dd")&amp;" | "&amp;A35&amp;" | "&amp;E35&amp;" v "&amp;G35&amp;" | "&amp;K35)</x:f>
      </x:c>
      <x:c r="N35" s="38" t="str">
        <x:f>IF(A35="","",IF(AND(L35="Scheduled",D35&lt;&gt;"TBD",F35&lt;&gt;"TBD",E35&lt;&gt;"",G35&lt;&gt;"",D35&lt;&gt;F35,J35&lt;&gt;"",K35&lt;&gt;""),"Yes","No"))</x:f>
      </x:c>
      <x:c r="O35" s="38" t="str">
        <x:f>IF(A35="","",IF(COUNTIF($A$5:$A$204,A35)&gt;1,"Duplicate Match ID",IF(OR(D35="",F35="",J35=""),"Missing fixture field",IF(OR(D35="TBD",F35="TBD",E35="",G35=""),"Unresolved placeholder fixture",IF(D35=F35,"Home and away same",IF(K35="","Missing venue display","OK"))))))</x:f>
      </x:c>
    </x:row>
    <x:row r="36" ht="15" hidden="0" customHeight="1">
      <x:c r="A36" s="38"/>
      <x:c r="B36" s="38"/>
      <x:c r="C36" s="38"/>
      <x:c r="D36" s="38"/>
      <x:c r="E36" s="38" t="str">
        <x:f>IFERROR(XLOOKUP(D36,Teams!$A$5:$A$36,Teams!$C$5:$C$36,""),D36)</x:f>
      </x:c>
      <x:c r="F36" s="38"/>
      <x:c r="G36" s="38" t="str">
        <x:f>IFERROR(XLOOKUP(F36,Teams!$A$5:$A$36,Teams!$C$5:$C$36,""),F36)</x:f>
      </x:c>
      <x:c r="H36" s="60"/>
      <x:c r="I36" s="38"/>
      <x:c r="J36" s="38"/>
      <x:c r="K36" s="38" t="str">
        <x:f>IFERROR(XLOOKUP(J36,Venues!$A$5:$A$24,Venues!$B$5:$B$24,""),"")</x:f>
      </x:c>
      <x:c r="L36" s="38"/>
      <x:c r="M36" s="38" t="str">
        <x:f>IF(A36="","",TEXT(H36,"yyyy-mm-dd")&amp;" | "&amp;A36&amp;" | "&amp;E36&amp;" v "&amp;G36&amp;" | "&amp;K36)</x:f>
      </x:c>
      <x:c r="N36" s="38" t="str">
        <x:f>IF(A36="","",IF(AND(L36="Scheduled",D36&lt;&gt;"TBD",F36&lt;&gt;"TBD",E36&lt;&gt;"",G36&lt;&gt;"",D36&lt;&gt;F36,J36&lt;&gt;"",K36&lt;&gt;""),"Yes","No"))</x:f>
      </x:c>
      <x:c r="O36" s="38" t="str">
        <x:f>IF(A36="","",IF(COUNTIF($A$5:$A$204,A36)&gt;1,"Duplicate Match ID",IF(OR(D36="",F36="",J36=""),"Missing fixture field",IF(OR(D36="TBD",F36="TBD",E36="",G36=""),"Unresolved placeholder fixture",IF(D36=F36,"Home and away same",IF(K36="","Missing venue display","OK"))))))</x:f>
      </x:c>
    </x:row>
    <x:row r="37" ht="15" hidden="0" customHeight="1">
      <x:c r="A37" s="38"/>
      <x:c r="B37" s="38"/>
      <x:c r="C37" s="38"/>
      <x:c r="D37" s="38"/>
      <x:c r="E37" s="38" t="str">
        <x:f>IFERROR(XLOOKUP(D37,Teams!$A$5:$A$36,Teams!$C$5:$C$36,""),D37)</x:f>
      </x:c>
      <x:c r="F37" s="38"/>
      <x:c r="G37" s="38" t="str">
        <x:f>IFERROR(XLOOKUP(F37,Teams!$A$5:$A$36,Teams!$C$5:$C$36,""),F37)</x:f>
      </x:c>
      <x:c r="H37" s="60"/>
      <x:c r="I37" s="38"/>
      <x:c r="J37" s="38"/>
      <x:c r="K37" s="38" t="str">
        <x:f>IFERROR(XLOOKUP(J37,Venues!$A$5:$A$24,Venues!$B$5:$B$24,""),"")</x:f>
      </x:c>
      <x:c r="L37" s="38"/>
      <x:c r="M37" s="38" t="str">
        <x:f>IF(A37="","",TEXT(H37,"yyyy-mm-dd")&amp;" | "&amp;A37&amp;" | "&amp;E37&amp;" v "&amp;G37&amp;" | "&amp;K37)</x:f>
      </x:c>
      <x:c r="N37" s="38" t="str">
        <x:f>IF(A37="","",IF(AND(L37="Scheduled",D37&lt;&gt;"TBD",F37&lt;&gt;"TBD",E37&lt;&gt;"",G37&lt;&gt;"",D37&lt;&gt;F37,J37&lt;&gt;"",K37&lt;&gt;""),"Yes","No"))</x:f>
      </x:c>
      <x:c r="O37" s="38" t="str">
        <x:f>IF(A37="","",IF(COUNTIF($A$5:$A$204,A37)&gt;1,"Duplicate Match ID",IF(OR(D37="",F37="",J37=""),"Missing fixture field",IF(OR(D37="TBD",F37="TBD",E37="",G37=""),"Unresolved placeholder fixture",IF(D37=F37,"Home and away same",IF(K37="","Missing venue display","OK"))))))</x:f>
      </x:c>
    </x:row>
    <x:row r="38" ht="15" hidden="0" customHeight="1">
      <x:c r="A38" s="38"/>
      <x:c r="B38" s="38"/>
      <x:c r="C38" s="38"/>
      <x:c r="D38" s="38"/>
      <x:c r="E38" s="38" t="str">
        <x:f>IFERROR(XLOOKUP(D38,Teams!$A$5:$A$36,Teams!$C$5:$C$36,""),D38)</x:f>
      </x:c>
      <x:c r="F38" s="38"/>
      <x:c r="G38" s="38" t="str">
        <x:f>IFERROR(XLOOKUP(F38,Teams!$A$5:$A$36,Teams!$C$5:$C$36,""),F38)</x:f>
      </x:c>
      <x:c r="H38" s="60"/>
      <x:c r="I38" s="38"/>
      <x:c r="J38" s="38"/>
      <x:c r="K38" s="38" t="str">
        <x:f>IFERROR(XLOOKUP(J38,Venues!$A$5:$A$24,Venues!$B$5:$B$24,""),"")</x:f>
      </x:c>
      <x:c r="L38" s="38"/>
      <x:c r="M38" s="38" t="str">
        <x:f>IF(A38="","",TEXT(H38,"yyyy-mm-dd")&amp;" | "&amp;A38&amp;" | "&amp;E38&amp;" v "&amp;G38&amp;" | "&amp;K38)</x:f>
      </x:c>
      <x:c r="N38" s="38" t="str">
        <x:f>IF(A38="","",IF(AND(L38="Scheduled",D38&lt;&gt;"TBD",F38&lt;&gt;"TBD",E38&lt;&gt;"",G38&lt;&gt;"",D38&lt;&gt;F38,J38&lt;&gt;"",K38&lt;&gt;""),"Yes","No"))</x:f>
      </x:c>
      <x:c r="O38" s="38" t="str">
        <x:f>IF(A38="","",IF(COUNTIF($A$5:$A$204,A38)&gt;1,"Duplicate Match ID",IF(OR(D38="",F38="",J38=""),"Missing fixture field",IF(OR(D38="TBD",F38="TBD",E38="",G38=""),"Unresolved placeholder fixture",IF(D38=F38,"Home and away same",IF(K38="","Missing venue display","OK"))))))</x:f>
      </x:c>
    </x:row>
    <x:row r="39" ht="15" hidden="0" customHeight="1">
      <x:c r="A39" s="38"/>
      <x:c r="B39" s="38"/>
      <x:c r="C39" s="38"/>
      <x:c r="D39" s="38"/>
      <x:c r="E39" s="38" t="str">
        <x:f>IFERROR(XLOOKUP(D39,Teams!$A$5:$A$36,Teams!$C$5:$C$36,""),D39)</x:f>
      </x:c>
      <x:c r="F39" s="38"/>
      <x:c r="G39" s="38" t="str">
        <x:f>IFERROR(XLOOKUP(F39,Teams!$A$5:$A$36,Teams!$C$5:$C$36,""),F39)</x:f>
      </x:c>
      <x:c r="H39" s="60"/>
      <x:c r="I39" s="38"/>
      <x:c r="J39" s="38"/>
      <x:c r="K39" s="38" t="str">
        <x:f>IFERROR(XLOOKUP(J39,Venues!$A$5:$A$24,Venues!$B$5:$B$24,""),"")</x:f>
      </x:c>
      <x:c r="L39" s="38"/>
      <x:c r="M39" s="38" t="str">
        <x:f>IF(A39="","",TEXT(H39,"yyyy-mm-dd")&amp;" | "&amp;A39&amp;" | "&amp;E39&amp;" v "&amp;G39&amp;" | "&amp;K39)</x:f>
      </x:c>
      <x:c r="N39" s="38" t="str">
        <x:f>IF(A39="","",IF(AND(L39="Scheduled",D39&lt;&gt;"TBD",F39&lt;&gt;"TBD",E39&lt;&gt;"",G39&lt;&gt;"",D39&lt;&gt;F39,J39&lt;&gt;"",K39&lt;&gt;""),"Yes","No"))</x:f>
      </x:c>
      <x:c r="O39" s="38" t="str">
        <x:f>IF(A39="","",IF(COUNTIF($A$5:$A$204,A39)&gt;1,"Duplicate Match ID",IF(OR(D39="",F39="",J39=""),"Missing fixture field",IF(OR(D39="TBD",F39="TBD",E39="",G39=""),"Unresolved placeholder fixture",IF(D39=F39,"Home and away same",IF(K39="","Missing venue display","OK"))))))</x:f>
      </x:c>
    </x:row>
    <x:row r="40" ht="15" hidden="0" customHeight="1">
      <x:c r="A40" s="38"/>
      <x:c r="B40" s="38"/>
      <x:c r="C40" s="38"/>
      <x:c r="D40" s="38"/>
      <x:c r="E40" s="38" t="str">
        <x:f>IFERROR(XLOOKUP(D40,Teams!$A$5:$A$36,Teams!$C$5:$C$36,""),D40)</x:f>
      </x:c>
      <x:c r="F40" s="38"/>
      <x:c r="G40" s="38" t="str">
        <x:f>IFERROR(XLOOKUP(F40,Teams!$A$5:$A$36,Teams!$C$5:$C$36,""),F40)</x:f>
      </x:c>
      <x:c r="H40" s="60"/>
      <x:c r="I40" s="38"/>
      <x:c r="J40" s="38"/>
      <x:c r="K40" s="38" t="str">
        <x:f>IFERROR(XLOOKUP(J40,Venues!$A$5:$A$24,Venues!$B$5:$B$24,""),"")</x:f>
      </x:c>
      <x:c r="L40" s="38"/>
      <x:c r="M40" s="38" t="str">
        <x:f>IF(A40="","",TEXT(H40,"yyyy-mm-dd")&amp;" | "&amp;A40&amp;" | "&amp;E40&amp;" v "&amp;G40&amp;" | "&amp;K40)</x:f>
      </x:c>
      <x:c r="N40" s="38" t="str">
        <x:f>IF(A40="","",IF(AND(L40="Scheduled",D40&lt;&gt;"TBD",F40&lt;&gt;"TBD",E40&lt;&gt;"",G40&lt;&gt;"",D40&lt;&gt;F40,J40&lt;&gt;"",K40&lt;&gt;""),"Yes","No"))</x:f>
      </x:c>
      <x:c r="O40" s="38" t="str">
        <x:f>IF(A40="","",IF(COUNTIF($A$5:$A$204,A40)&gt;1,"Duplicate Match ID",IF(OR(D40="",F40="",J40=""),"Missing fixture field",IF(OR(D40="TBD",F40="TBD",E40="",G40=""),"Unresolved placeholder fixture",IF(D40=F40,"Home and away same",IF(K40="","Missing venue display","OK"))))))</x:f>
      </x:c>
    </x:row>
    <x:row r="41" ht="15" hidden="0" customHeight="1">
      <x:c r="A41" s="38"/>
      <x:c r="B41" s="38"/>
      <x:c r="C41" s="38"/>
      <x:c r="D41" s="38"/>
      <x:c r="E41" s="38" t="str">
        <x:f>IFERROR(XLOOKUP(D41,Teams!$A$5:$A$36,Teams!$C$5:$C$36,""),D41)</x:f>
      </x:c>
      <x:c r="F41" s="38"/>
      <x:c r="G41" s="38" t="str">
        <x:f>IFERROR(XLOOKUP(F41,Teams!$A$5:$A$36,Teams!$C$5:$C$36,""),F41)</x:f>
      </x:c>
      <x:c r="H41" s="60"/>
      <x:c r="I41" s="38"/>
      <x:c r="J41" s="38"/>
      <x:c r="K41" s="38" t="str">
        <x:f>IFERROR(XLOOKUP(J41,Venues!$A$5:$A$24,Venues!$B$5:$B$24,""),"")</x:f>
      </x:c>
      <x:c r="L41" s="38"/>
      <x:c r="M41" s="38" t="str">
        <x:f>IF(A41="","",TEXT(H41,"yyyy-mm-dd")&amp;" | "&amp;A41&amp;" | "&amp;E41&amp;" v "&amp;G41&amp;" | "&amp;K41)</x:f>
      </x:c>
      <x:c r="N41" s="38" t="str">
        <x:f>IF(A41="","",IF(AND(L41="Scheduled",D41&lt;&gt;"TBD",F41&lt;&gt;"TBD",E41&lt;&gt;"",G41&lt;&gt;"",D41&lt;&gt;F41,J41&lt;&gt;"",K41&lt;&gt;""),"Yes","No"))</x:f>
      </x:c>
      <x:c r="O41" s="38" t="str">
        <x:f>IF(A41="","",IF(COUNTIF($A$5:$A$204,A41)&gt;1,"Duplicate Match ID",IF(OR(D41="",F41="",J41=""),"Missing fixture field",IF(OR(D41="TBD",F41="TBD",E41="",G41=""),"Unresolved placeholder fixture",IF(D41=F41,"Home and away same",IF(K41="","Missing venue display","OK"))))))</x:f>
      </x:c>
    </x:row>
    <x:row r="42" ht="15" hidden="0" customHeight="1">
      <x:c r="A42" s="38"/>
      <x:c r="B42" s="38"/>
      <x:c r="C42" s="38"/>
      <x:c r="D42" s="38"/>
      <x:c r="E42" s="38" t="str">
        <x:f>IFERROR(XLOOKUP(D42,Teams!$A$5:$A$36,Teams!$C$5:$C$36,""),D42)</x:f>
      </x:c>
      <x:c r="F42" s="38"/>
      <x:c r="G42" s="38" t="str">
        <x:f>IFERROR(XLOOKUP(F42,Teams!$A$5:$A$36,Teams!$C$5:$C$36,""),F42)</x:f>
      </x:c>
      <x:c r="H42" s="60"/>
      <x:c r="I42" s="38"/>
      <x:c r="J42" s="38"/>
      <x:c r="K42" s="38" t="str">
        <x:f>IFERROR(XLOOKUP(J42,Venues!$A$5:$A$24,Venues!$B$5:$B$24,""),"")</x:f>
      </x:c>
      <x:c r="L42" s="38"/>
      <x:c r="M42" s="38" t="str">
        <x:f>IF(A42="","",TEXT(H42,"yyyy-mm-dd")&amp;" | "&amp;A42&amp;" | "&amp;E42&amp;" v "&amp;G42&amp;" | "&amp;K42)</x:f>
      </x:c>
      <x:c r="N42" s="38" t="str">
        <x:f>IF(A42="","",IF(AND(L42="Scheduled",D42&lt;&gt;"TBD",F42&lt;&gt;"TBD",E42&lt;&gt;"",G42&lt;&gt;"",D42&lt;&gt;F42,J42&lt;&gt;"",K42&lt;&gt;""),"Yes","No"))</x:f>
      </x:c>
      <x:c r="O42" s="38" t="str">
        <x:f>IF(A42="","",IF(COUNTIF($A$5:$A$204,A42)&gt;1,"Duplicate Match ID",IF(OR(D42="",F42="",J42=""),"Missing fixture field",IF(OR(D42="TBD",F42="TBD",E42="",G42=""),"Unresolved placeholder fixture",IF(D42=F42,"Home and away same",IF(K42="","Missing venue display","OK"))))))</x:f>
      </x:c>
    </x:row>
    <x:row r="43" ht="15" hidden="0" customHeight="1">
      <x:c r="A43" s="38"/>
      <x:c r="B43" s="38"/>
      <x:c r="C43" s="38"/>
      <x:c r="D43" s="38"/>
      <x:c r="E43" s="38" t="str">
        <x:f>IFERROR(XLOOKUP(D43,Teams!$A$5:$A$36,Teams!$C$5:$C$36,""),D43)</x:f>
      </x:c>
      <x:c r="F43" s="38"/>
      <x:c r="G43" s="38" t="str">
        <x:f>IFERROR(XLOOKUP(F43,Teams!$A$5:$A$36,Teams!$C$5:$C$36,""),F43)</x:f>
      </x:c>
      <x:c r="H43" s="60"/>
      <x:c r="I43" s="38"/>
      <x:c r="J43" s="38"/>
      <x:c r="K43" s="38" t="str">
        <x:f>IFERROR(XLOOKUP(J43,Venues!$A$5:$A$24,Venues!$B$5:$B$24,""),"")</x:f>
      </x:c>
      <x:c r="L43" s="38"/>
      <x:c r="M43" s="38" t="str">
        <x:f>IF(A43="","",TEXT(H43,"yyyy-mm-dd")&amp;" | "&amp;A43&amp;" | "&amp;E43&amp;" v "&amp;G43&amp;" | "&amp;K43)</x:f>
      </x:c>
      <x:c r="N43" s="38" t="str">
        <x:f>IF(A43="","",IF(AND(L43="Scheduled",D43&lt;&gt;"TBD",F43&lt;&gt;"TBD",E43&lt;&gt;"",G43&lt;&gt;"",D43&lt;&gt;F43,J43&lt;&gt;"",K43&lt;&gt;""),"Yes","No"))</x:f>
      </x:c>
      <x:c r="O43" s="38" t="str">
        <x:f>IF(A43="","",IF(COUNTIF($A$5:$A$204,A43)&gt;1,"Duplicate Match ID",IF(OR(D43="",F43="",J43=""),"Missing fixture field",IF(OR(D43="TBD",F43="TBD",E43="",G43=""),"Unresolved placeholder fixture",IF(D43=F43,"Home and away same",IF(K43="","Missing venue display","OK"))))))</x:f>
      </x:c>
    </x:row>
    <x:row r="44" ht="15" hidden="0" customHeight="1">
      <x:c r="A44" s="38"/>
      <x:c r="B44" s="38"/>
      <x:c r="C44" s="38"/>
      <x:c r="D44" s="38"/>
      <x:c r="E44" s="38" t="str">
        <x:f>IFERROR(XLOOKUP(D44,Teams!$A$5:$A$36,Teams!$C$5:$C$36,""),D44)</x:f>
      </x:c>
      <x:c r="F44" s="38"/>
      <x:c r="G44" s="38" t="str">
        <x:f>IFERROR(XLOOKUP(F44,Teams!$A$5:$A$36,Teams!$C$5:$C$36,""),F44)</x:f>
      </x:c>
      <x:c r="H44" s="60"/>
      <x:c r="I44" s="38"/>
      <x:c r="J44" s="38"/>
      <x:c r="K44" s="38" t="str">
        <x:f>IFERROR(XLOOKUP(J44,Venues!$A$5:$A$24,Venues!$B$5:$B$24,""),"")</x:f>
      </x:c>
      <x:c r="L44" s="38"/>
      <x:c r="M44" s="38" t="str">
        <x:f>IF(A44="","",TEXT(H44,"yyyy-mm-dd")&amp;" | "&amp;A44&amp;" | "&amp;E44&amp;" v "&amp;G44&amp;" | "&amp;K44)</x:f>
      </x:c>
      <x:c r="N44" s="38" t="str">
        <x:f>IF(A44="","",IF(AND(L44="Scheduled",D44&lt;&gt;"TBD",F44&lt;&gt;"TBD",E44&lt;&gt;"",G44&lt;&gt;"",D44&lt;&gt;F44,J44&lt;&gt;"",K44&lt;&gt;""),"Yes","No"))</x:f>
      </x:c>
      <x:c r="O44" s="38" t="str">
        <x:f>IF(A44="","",IF(COUNTIF($A$5:$A$204,A44)&gt;1,"Duplicate Match ID",IF(OR(D44="",F44="",J44=""),"Missing fixture field",IF(OR(D44="TBD",F44="TBD",E44="",G44=""),"Unresolved placeholder fixture",IF(D44=F44,"Home and away same",IF(K44="","Missing venue display","OK"))))))</x:f>
      </x:c>
    </x:row>
    <x:row r="45" ht="15" hidden="0" customHeight="1">
      <x:c r="A45" s="38"/>
      <x:c r="B45" s="38"/>
      <x:c r="C45" s="38"/>
      <x:c r="D45" s="38"/>
      <x:c r="E45" s="38" t="str">
        <x:f>IFERROR(XLOOKUP(D45,Teams!$A$5:$A$36,Teams!$C$5:$C$36,""),D45)</x:f>
      </x:c>
      <x:c r="F45" s="38"/>
      <x:c r="G45" s="38" t="str">
        <x:f>IFERROR(XLOOKUP(F45,Teams!$A$5:$A$36,Teams!$C$5:$C$36,""),F45)</x:f>
      </x:c>
      <x:c r="H45" s="60"/>
      <x:c r="I45" s="38"/>
      <x:c r="J45" s="38"/>
      <x:c r="K45" s="38" t="str">
        <x:f>IFERROR(XLOOKUP(J45,Venues!$A$5:$A$24,Venues!$B$5:$B$24,""),"")</x:f>
      </x:c>
      <x:c r="L45" s="38"/>
      <x:c r="M45" s="38" t="str">
        <x:f>IF(A45="","",TEXT(H45,"yyyy-mm-dd")&amp;" | "&amp;A45&amp;" | "&amp;E45&amp;" v "&amp;G45&amp;" | "&amp;K45)</x:f>
      </x:c>
      <x:c r="N45" s="38" t="str">
        <x:f>IF(A45="","",IF(AND(L45="Scheduled",D45&lt;&gt;"TBD",F45&lt;&gt;"TBD",E45&lt;&gt;"",G45&lt;&gt;"",D45&lt;&gt;F45,J45&lt;&gt;"",K45&lt;&gt;""),"Yes","No"))</x:f>
      </x:c>
      <x:c r="O45" s="38" t="str">
        <x:f>IF(A45="","",IF(COUNTIF($A$5:$A$204,A45)&gt;1,"Duplicate Match ID",IF(OR(D45="",F45="",J45=""),"Missing fixture field",IF(OR(D45="TBD",F45="TBD",E45="",G45=""),"Unresolved placeholder fixture",IF(D45=F45,"Home and away same",IF(K45="","Missing venue display","OK"))))))</x:f>
      </x:c>
    </x:row>
    <x:row r="46" ht="15" hidden="0" customHeight="1">
      <x:c r="A46" s="38"/>
      <x:c r="B46" s="38"/>
      <x:c r="C46" s="38"/>
      <x:c r="D46" s="38"/>
      <x:c r="E46" s="38" t="str">
        <x:f>IFERROR(XLOOKUP(D46,Teams!$A$5:$A$36,Teams!$C$5:$C$36,""),D46)</x:f>
      </x:c>
      <x:c r="F46" s="38"/>
      <x:c r="G46" s="38" t="str">
        <x:f>IFERROR(XLOOKUP(F46,Teams!$A$5:$A$36,Teams!$C$5:$C$36,""),F46)</x:f>
      </x:c>
      <x:c r="H46" s="60"/>
      <x:c r="I46" s="38"/>
      <x:c r="J46" s="38"/>
      <x:c r="K46" s="38" t="str">
        <x:f>IFERROR(XLOOKUP(J46,Venues!$A$5:$A$24,Venues!$B$5:$B$24,""),"")</x:f>
      </x:c>
      <x:c r="L46" s="38"/>
      <x:c r="M46" s="38" t="str">
        <x:f>IF(A46="","",TEXT(H46,"yyyy-mm-dd")&amp;" | "&amp;A46&amp;" | "&amp;E46&amp;" v "&amp;G46&amp;" | "&amp;K46)</x:f>
      </x:c>
      <x:c r="N46" s="38" t="str">
        <x:f>IF(A46="","",IF(AND(L46="Scheduled",D46&lt;&gt;"TBD",F46&lt;&gt;"TBD",E46&lt;&gt;"",G46&lt;&gt;"",D46&lt;&gt;F46,J46&lt;&gt;"",K46&lt;&gt;""),"Yes","No"))</x:f>
      </x:c>
      <x:c r="O46" s="38" t="str">
        <x:f>IF(A46="","",IF(COUNTIF($A$5:$A$204,A46)&gt;1,"Duplicate Match ID",IF(OR(D46="",F46="",J46=""),"Missing fixture field",IF(OR(D46="TBD",F46="TBD",E46="",G46=""),"Unresolved placeholder fixture",IF(D46=F46,"Home and away same",IF(K46="","Missing venue display","OK"))))))</x:f>
      </x:c>
    </x:row>
    <x:row r="47" ht="15" hidden="0" customHeight="1">
      <x:c r="A47" s="38"/>
      <x:c r="B47" s="38"/>
      <x:c r="C47" s="38"/>
      <x:c r="D47" s="38"/>
      <x:c r="E47" s="38" t="str">
        <x:f>IFERROR(XLOOKUP(D47,Teams!$A$5:$A$36,Teams!$C$5:$C$36,""),D47)</x:f>
      </x:c>
      <x:c r="F47" s="38"/>
      <x:c r="G47" s="38" t="str">
        <x:f>IFERROR(XLOOKUP(F47,Teams!$A$5:$A$36,Teams!$C$5:$C$36,""),F47)</x:f>
      </x:c>
      <x:c r="H47" s="60"/>
      <x:c r="I47" s="38"/>
      <x:c r="J47" s="38"/>
      <x:c r="K47" s="38" t="str">
        <x:f>IFERROR(XLOOKUP(J47,Venues!$A$5:$A$24,Venues!$B$5:$B$24,""),"")</x:f>
      </x:c>
      <x:c r="L47" s="38"/>
      <x:c r="M47" s="38" t="str">
        <x:f>IF(A47="","",TEXT(H47,"yyyy-mm-dd")&amp;" | "&amp;A47&amp;" | "&amp;E47&amp;" v "&amp;G47&amp;" | "&amp;K47)</x:f>
      </x:c>
      <x:c r="N47" s="38" t="str">
        <x:f>IF(A47="","",IF(AND(L47="Scheduled",D47&lt;&gt;"TBD",F47&lt;&gt;"TBD",E47&lt;&gt;"",G47&lt;&gt;"",D47&lt;&gt;F47,J47&lt;&gt;"",K47&lt;&gt;""),"Yes","No"))</x:f>
      </x:c>
      <x:c r="O47" s="38" t="str">
        <x:f>IF(A47="","",IF(COUNTIF($A$5:$A$204,A47)&gt;1,"Duplicate Match ID",IF(OR(D47="",F47="",J47=""),"Missing fixture field",IF(OR(D47="TBD",F47="TBD",E47="",G47=""),"Unresolved placeholder fixture",IF(D47=F47,"Home and away same",IF(K47="","Missing venue display","OK"))))))</x:f>
      </x:c>
    </x:row>
    <x:row r="48" ht="15" hidden="0" customHeight="1">
      <x:c r="A48" s="38"/>
      <x:c r="B48" s="38"/>
      <x:c r="C48" s="38"/>
      <x:c r="D48" s="38"/>
      <x:c r="E48" s="38" t="str">
        <x:f>IFERROR(XLOOKUP(D48,Teams!$A$5:$A$36,Teams!$C$5:$C$36,""),D48)</x:f>
      </x:c>
      <x:c r="F48" s="38"/>
      <x:c r="G48" s="38" t="str">
        <x:f>IFERROR(XLOOKUP(F48,Teams!$A$5:$A$36,Teams!$C$5:$C$36,""),F48)</x:f>
      </x:c>
      <x:c r="H48" s="60"/>
      <x:c r="I48" s="38"/>
      <x:c r="J48" s="38"/>
      <x:c r="K48" s="38" t="str">
        <x:f>IFERROR(XLOOKUP(J48,Venues!$A$5:$A$24,Venues!$B$5:$B$24,""),"")</x:f>
      </x:c>
      <x:c r="L48" s="38"/>
      <x:c r="M48" s="38" t="str">
        <x:f>IF(A48="","",TEXT(H48,"yyyy-mm-dd")&amp;" | "&amp;A48&amp;" | "&amp;E48&amp;" v "&amp;G48&amp;" | "&amp;K48)</x:f>
      </x:c>
      <x:c r="N48" s="38" t="str">
        <x:f>IF(A48="","",IF(AND(L48="Scheduled",D48&lt;&gt;"TBD",F48&lt;&gt;"TBD",E48&lt;&gt;"",G48&lt;&gt;"",D48&lt;&gt;F48,J48&lt;&gt;"",K48&lt;&gt;""),"Yes","No"))</x:f>
      </x:c>
      <x:c r="O48" s="38" t="str">
        <x:f>IF(A48="","",IF(COUNTIF($A$5:$A$204,A48)&gt;1,"Duplicate Match ID",IF(OR(D48="",F48="",J48=""),"Missing fixture field",IF(OR(D48="TBD",F48="TBD",E48="",G48=""),"Unresolved placeholder fixture",IF(D48=F48,"Home and away same",IF(K48="","Missing venue display","OK"))))))</x:f>
      </x:c>
    </x:row>
    <x:row r="49" ht="15" hidden="0" customHeight="1">
      <x:c r="A49" s="38"/>
      <x:c r="B49" s="38"/>
      <x:c r="C49" s="38"/>
      <x:c r="D49" s="38"/>
      <x:c r="E49" s="38" t="str">
        <x:f>IFERROR(XLOOKUP(D49,Teams!$A$5:$A$36,Teams!$C$5:$C$36,""),D49)</x:f>
      </x:c>
      <x:c r="F49" s="38"/>
      <x:c r="G49" s="38" t="str">
        <x:f>IFERROR(XLOOKUP(F49,Teams!$A$5:$A$36,Teams!$C$5:$C$36,""),F49)</x:f>
      </x:c>
      <x:c r="H49" s="60"/>
      <x:c r="I49" s="38"/>
      <x:c r="J49" s="38"/>
      <x:c r="K49" s="38" t="str">
        <x:f>IFERROR(XLOOKUP(J49,Venues!$A$5:$A$24,Venues!$B$5:$B$24,""),"")</x:f>
      </x:c>
      <x:c r="L49" s="38"/>
      <x:c r="M49" s="38" t="str">
        <x:f>IF(A49="","",TEXT(H49,"yyyy-mm-dd")&amp;" | "&amp;A49&amp;" | "&amp;E49&amp;" v "&amp;G49&amp;" | "&amp;K49)</x:f>
      </x:c>
      <x:c r="N49" s="38" t="str">
        <x:f>IF(A49="","",IF(AND(L49="Scheduled",D49&lt;&gt;"TBD",F49&lt;&gt;"TBD",E49&lt;&gt;"",G49&lt;&gt;"",D49&lt;&gt;F49,J49&lt;&gt;"",K49&lt;&gt;""),"Yes","No"))</x:f>
      </x:c>
      <x:c r="O49" s="38" t="str">
        <x:f>IF(A49="","",IF(COUNTIF($A$5:$A$204,A49)&gt;1,"Duplicate Match ID",IF(OR(D49="",F49="",J49=""),"Missing fixture field",IF(OR(D49="TBD",F49="TBD",E49="",G49=""),"Unresolved placeholder fixture",IF(D49=F49,"Home and away same",IF(K49="","Missing venue display","OK"))))))</x:f>
      </x:c>
    </x:row>
    <x:row r="50" ht="15" hidden="0" customHeight="1">
      <x:c r="A50" s="38"/>
      <x:c r="B50" s="38"/>
      <x:c r="C50" s="38"/>
      <x:c r="D50" s="38"/>
      <x:c r="E50" s="38" t="str">
        <x:f>IFERROR(XLOOKUP(D50,Teams!$A$5:$A$36,Teams!$C$5:$C$36,""),D50)</x:f>
      </x:c>
      <x:c r="F50" s="38"/>
      <x:c r="G50" s="38" t="str">
        <x:f>IFERROR(XLOOKUP(F50,Teams!$A$5:$A$36,Teams!$C$5:$C$36,""),F50)</x:f>
      </x:c>
      <x:c r="H50" s="60"/>
      <x:c r="I50" s="38"/>
      <x:c r="J50" s="38"/>
      <x:c r="K50" s="38" t="str">
        <x:f>IFERROR(XLOOKUP(J50,Venues!$A$5:$A$24,Venues!$B$5:$B$24,""),"")</x:f>
      </x:c>
      <x:c r="L50" s="38"/>
      <x:c r="M50" s="38" t="str">
        <x:f>IF(A50="","",TEXT(H50,"yyyy-mm-dd")&amp;" | "&amp;A50&amp;" | "&amp;E50&amp;" v "&amp;G50&amp;" | "&amp;K50)</x:f>
      </x:c>
      <x:c r="N50" s="38" t="str">
        <x:f>IF(A50="","",IF(AND(L50="Scheduled",D50&lt;&gt;"TBD",F50&lt;&gt;"TBD",E50&lt;&gt;"",G50&lt;&gt;"",D50&lt;&gt;F50,J50&lt;&gt;"",K50&lt;&gt;""),"Yes","No"))</x:f>
      </x:c>
      <x:c r="O50" s="38" t="str">
        <x:f>IF(A50="","",IF(COUNTIF($A$5:$A$204,A50)&gt;1,"Duplicate Match ID",IF(OR(D50="",F50="",J50=""),"Missing fixture field",IF(OR(D50="TBD",F50="TBD",E50="",G50=""),"Unresolved placeholder fixture",IF(D50=F50,"Home and away same",IF(K50="","Missing venue display","OK"))))))</x:f>
      </x:c>
    </x:row>
    <x:row r="51" ht="15" hidden="0" customHeight="1">
      <x:c r="A51" s="38"/>
      <x:c r="B51" s="38"/>
      <x:c r="C51" s="38"/>
      <x:c r="D51" s="38"/>
      <x:c r="E51" s="38" t="str">
        <x:f>IFERROR(XLOOKUP(D51,Teams!$A$5:$A$36,Teams!$C$5:$C$36,""),D51)</x:f>
      </x:c>
      <x:c r="F51" s="38"/>
      <x:c r="G51" s="38" t="str">
        <x:f>IFERROR(XLOOKUP(F51,Teams!$A$5:$A$36,Teams!$C$5:$C$36,""),F51)</x:f>
      </x:c>
      <x:c r="H51" s="60"/>
      <x:c r="I51" s="38"/>
      <x:c r="J51" s="38"/>
      <x:c r="K51" s="38" t="str">
        <x:f>IFERROR(XLOOKUP(J51,Venues!$A$5:$A$24,Venues!$B$5:$B$24,""),"")</x:f>
      </x:c>
      <x:c r="L51" s="38"/>
      <x:c r="M51" s="38" t="str">
        <x:f>IF(A51="","",TEXT(H51,"yyyy-mm-dd")&amp;" | "&amp;A51&amp;" | "&amp;E51&amp;" v "&amp;G51&amp;" | "&amp;K51)</x:f>
      </x:c>
      <x:c r="N51" s="38" t="str">
        <x:f>IF(A51="","",IF(AND(L51="Scheduled",D51&lt;&gt;"TBD",F51&lt;&gt;"TBD",E51&lt;&gt;"",G51&lt;&gt;"",D51&lt;&gt;F51,J51&lt;&gt;"",K51&lt;&gt;""),"Yes","No"))</x:f>
      </x:c>
      <x:c r="O51" s="38" t="str">
        <x:f>IF(A51="","",IF(COUNTIF($A$5:$A$204,A51)&gt;1,"Duplicate Match ID",IF(OR(D51="",F51="",J51=""),"Missing fixture field",IF(OR(D51="TBD",F51="TBD",E51="",G51=""),"Unresolved placeholder fixture",IF(D51=F51,"Home and away same",IF(K51="","Missing venue display","OK"))))))</x:f>
      </x:c>
    </x:row>
    <x:row r="52" ht="15" hidden="0" customHeight="1">
      <x:c r="A52" s="38"/>
      <x:c r="B52" s="38"/>
      <x:c r="C52" s="38"/>
      <x:c r="D52" s="38"/>
      <x:c r="E52" s="38" t="str">
        <x:f>IFERROR(XLOOKUP(D52,Teams!$A$5:$A$36,Teams!$C$5:$C$36,""),D52)</x:f>
      </x:c>
      <x:c r="F52" s="38"/>
      <x:c r="G52" s="38" t="str">
        <x:f>IFERROR(XLOOKUP(F52,Teams!$A$5:$A$36,Teams!$C$5:$C$36,""),F52)</x:f>
      </x:c>
      <x:c r="H52" s="60"/>
      <x:c r="I52" s="38"/>
      <x:c r="J52" s="38"/>
      <x:c r="K52" s="38" t="str">
        <x:f>IFERROR(XLOOKUP(J52,Venues!$A$5:$A$24,Venues!$B$5:$B$24,""),"")</x:f>
      </x:c>
      <x:c r="L52" s="38"/>
      <x:c r="M52" s="38" t="str">
        <x:f>IF(A52="","",TEXT(H52,"yyyy-mm-dd")&amp;" | "&amp;A52&amp;" | "&amp;E52&amp;" v "&amp;G52&amp;" | "&amp;K52)</x:f>
      </x:c>
      <x:c r="N52" s="38" t="str">
        <x:f>IF(A52="","",IF(AND(L52="Scheduled",D52&lt;&gt;"TBD",F52&lt;&gt;"TBD",E52&lt;&gt;"",G52&lt;&gt;"",D52&lt;&gt;F52,J52&lt;&gt;"",K52&lt;&gt;""),"Yes","No"))</x:f>
      </x:c>
      <x:c r="O52" s="38" t="str">
        <x:f>IF(A52="","",IF(COUNTIF($A$5:$A$204,A52)&gt;1,"Duplicate Match ID",IF(OR(D52="",F52="",J52=""),"Missing fixture field",IF(OR(D52="TBD",F52="TBD",E52="",G52=""),"Unresolved placeholder fixture",IF(D52=F52,"Home and away same",IF(K52="","Missing venue display","OK"))))))</x:f>
      </x:c>
    </x:row>
    <x:row r="53" ht="15" hidden="0" customHeight="1">
      <x:c r="A53" s="38"/>
      <x:c r="B53" s="38"/>
      <x:c r="C53" s="38"/>
      <x:c r="D53" s="38"/>
      <x:c r="E53" s="38" t="str">
        <x:f>IFERROR(XLOOKUP(D53,Teams!$A$5:$A$36,Teams!$C$5:$C$36,""),D53)</x:f>
      </x:c>
      <x:c r="F53" s="38"/>
      <x:c r="G53" s="38" t="str">
        <x:f>IFERROR(XLOOKUP(F53,Teams!$A$5:$A$36,Teams!$C$5:$C$36,""),F53)</x:f>
      </x:c>
      <x:c r="H53" s="60"/>
      <x:c r="I53" s="38"/>
      <x:c r="J53" s="38"/>
      <x:c r="K53" s="38" t="str">
        <x:f>IFERROR(XLOOKUP(J53,Venues!$A$5:$A$24,Venues!$B$5:$B$24,""),"")</x:f>
      </x:c>
      <x:c r="L53" s="38"/>
      <x:c r="M53" s="38" t="str">
        <x:f>IF(A53="","",TEXT(H53,"yyyy-mm-dd")&amp;" | "&amp;A53&amp;" | "&amp;E53&amp;" v "&amp;G53&amp;" | "&amp;K53)</x:f>
      </x:c>
      <x:c r="N53" s="38" t="str">
        <x:f>IF(A53="","",IF(AND(L53="Scheduled",D53&lt;&gt;"TBD",F53&lt;&gt;"TBD",E53&lt;&gt;"",G53&lt;&gt;"",D53&lt;&gt;F53,J53&lt;&gt;"",K53&lt;&gt;""),"Yes","No"))</x:f>
      </x:c>
      <x:c r="O53" s="38" t="str">
        <x:f>IF(A53="","",IF(COUNTIF($A$5:$A$204,A53)&gt;1,"Duplicate Match ID",IF(OR(D53="",F53="",J53=""),"Missing fixture field",IF(OR(D53="TBD",F53="TBD",E53="",G53=""),"Unresolved placeholder fixture",IF(D53=F53,"Home and away same",IF(K53="","Missing venue display","OK"))))))</x:f>
      </x:c>
    </x:row>
    <x:row r="54" ht="15" hidden="0" customHeight="1">
      <x:c r="A54" s="38"/>
      <x:c r="B54" s="38"/>
      <x:c r="C54" s="38"/>
      <x:c r="D54" s="38"/>
      <x:c r="E54" s="38" t="str">
        <x:f>IFERROR(XLOOKUP(D54,Teams!$A$5:$A$36,Teams!$C$5:$C$36,""),D54)</x:f>
      </x:c>
      <x:c r="F54" s="38"/>
      <x:c r="G54" s="38" t="str">
        <x:f>IFERROR(XLOOKUP(F54,Teams!$A$5:$A$36,Teams!$C$5:$C$36,""),F54)</x:f>
      </x:c>
      <x:c r="H54" s="60"/>
      <x:c r="I54" s="38"/>
      <x:c r="J54" s="38"/>
      <x:c r="K54" s="38" t="str">
        <x:f>IFERROR(XLOOKUP(J54,Venues!$A$5:$A$24,Venues!$B$5:$B$24,""),"")</x:f>
      </x:c>
      <x:c r="L54" s="38"/>
      <x:c r="M54" s="38" t="str">
        <x:f>IF(A54="","",TEXT(H54,"yyyy-mm-dd")&amp;" | "&amp;A54&amp;" | "&amp;E54&amp;" v "&amp;G54&amp;" | "&amp;K54)</x:f>
      </x:c>
      <x:c r="N54" s="38" t="str">
        <x:f>IF(A54="","",IF(AND(L54="Scheduled",D54&lt;&gt;"TBD",F54&lt;&gt;"TBD",E54&lt;&gt;"",G54&lt;&gt;"",D54&lt;&gt;F54,J54&lt;&gt;"",K54&lt;&gt;""),"Yes","No"))</x:f>
      </x:c>
      <x:c r="O54" s="38" t="str">
        <x:f>IF(A54="","",IF(COUNTIF($A$5:$A$204,A54)&gt;1,"Duplicate Match ID",IF(OR(D54="",F54="",J54=""),"Missing fixture field",IF(OR(D54="TBD",F54="TBD",E54="",G54=""),"Unresolved placeholder fixture",IF(D54=F54,"Home and away same",IF(K54="","Missing venue display","OK"))))))</x:f>
      </x:c>
    </x:row>
    <x:row r="55" ht="15" hidden="0" customHeight="1">
      <x:c r="A55" s="38"/>
      <x:c r="B55" s="38"/>
      <x:c r="C55" s="38"/>
      <x:c r="D55" s="38"/>
      <x:c r="E55" s="38" t="str">
        <x:f>IFERROR(XLOOKUP(D55,Teams!$A$5:$A$36,Teams!$C$5:$C$36,""),D55)</x:f>
      </x:c>
      <x:c r="F55" s="38"/>
      <x:c r="G55" s="38" t="str">
        <x:f>IFERROR(XLOOKUP(F55,Teams!$A$5:$A$36,Teams!$C$5:$C$36,""),F55)</x:f>
      </x:c>
      <x:c r="H55" s="60"/>
      <x:c r="I55" s="38"/>
      <x:c r="J55" s="38"/>
      <x:c r="K55" s="38" t="str">
        <x:f>IFERROR(XLOOKUP(J55,Venues!$A$5:$A$24,Venues!$B$5:$B$24,""),"")</x:f>
      </x:c>
      <x:c r="L55" s="38"/>
      <x:c r="M55" s="38" t="str">
        <x:f>IF(A55="","",TEXT(H55,"yyyy-mm-dd")&amp;" | "&amp;A55&amp;" | "&amp;E55&amp;" v "&amp;G55&amp;" | "&amp;K55)</x:f>
      </x:c>
      <x:c r="N55" s="38" t="str">
        <x:f>IF(A55="","",IF(AND(L55="Scheduled",D55&lt;&gt;"TBD",F55&lt;&gt;"TBD",E55&lt;&gt;"",G55&lt;&gt;"",D55&lt;&gt;F55,J55&lt;&gt;"",K55&lt;&gt;""),"Yes","No"))</x:f>
      </x:c>
      <x:c r="O55" s="38" t="str">
        <x:f>IF(A55="","",IF(COUNTIF($A$5:$A$204,A55)&gt;1,"Duplicate Match ID",IF(OR(D55="",F55="",J55=""),"Missing fixture field",IF(OR(D55="TBD",F55="TBD",E55="",G55=""),"Unresolved placeholder fixture",IF(D55=F55,"Home and away same",IF(K55="","Missing venue display","OK"))))))</x:f>
      </x:c>
    </x:row>
    <x:row r="56" ht="15" hidden="0" customHeight="1">
      <x:c r="A56" s="38"/>
      <x:c r="B56" s="38"/>
      <x:c r="C56" s="38"/>
      <x:c r="D56" s="38"/>
      <x:c r="E56" s="38" t="str">
        <x:f>IFERROR(XLOOKUP(D56,Teams!$A$5:$A$36,Teams!$C$5:$C$36,""),D56)</x:f>
      </x:c>
      <x:c r="F56" s="38"/>
      <x:c r="G56" s="38" t="str">
        <x:f>IFERROR(XLOOKUP(F56,Teams!$A$5:$A$36,Teams!$C$5:$C$36,""),F56)</x:f>
      </x:c>
      <x:c r="H56" s="60"/>
      <x:c r="I56" s="38"/>
      <x:c r="J56" s="38"/>
      <x:c r="K56" s="38" t="str">
        <x:f>IFERROR(XLOOKUP(J56,Venues!$A$5:$A$24,Venues!$B$5:$B$24,""),"")</x:f>
      </x:c>
      <x:c r="L56" s="38"/>
      <x:c r="M56" s="38" t="str">
        <x:f>IF(A56="","",TEXT(H56,"yyyy-mm-dd")&amp;" | "&amp;A56&amp;" | "&amp;E56&amp;" v "&amp;G56&amp;" | "&amp;K56)</x:f>
      </x:c>
      <x:c r="N56" s="38" t="str">
        <x:f>IF(A56="","",IF(AND(L56="Scheduled",D56&lt;&gt;"TBD",F56&lt;&gt;"TBD",E56&lt;&gt;"",G56&lt;&gt;"",D56&lt;&gt;F56,J56&lt;&gt;"",K56&lt;&gt;""),"Yes","No"))</x:f>
      </x:c>
      <x:c r="O56" s="38" t="str">
        <x:f>IF(A56="","",IF(COUNTIF($A$5:$A$204,A56)&gt;1,"Duplicate Match ID",IF(OR(D56="",F56="",J56=""),"Missing fixture field",IF(OR(D56="TBD",F56="TBD",E56="",G56=""),"Unresolved placeholder fixture",IF(D56=F56,"Home and away same",IF(K56="","Missing venue display","OK"))))))</x:f>
      </x:c>
    </x:row>
    <x:row r="57" ht="15" hidden="0" customHeight="1">
      <x:c r="A57" s="38"/>
      <x:c r="B57" s="38"/>
      <x:c r="C57" s="38"/>
      <x:c r="D57" s="38"/>
      <x:c r="E57" s="38" t="str">
        <x:f>IFERROR(XLOOKUP(D57,Teams!$A$5:$A$36,Teams!$C$5:$C$36,""),D57)</x:f>
      </x:c>
      <x:c r="F57" s="38"/>
      <x:c r="G57" s="38" t="str">
        <x:f>IFERROR(XLOOKUP(F57,Teams!$A$5:$A$36,Teams!$C$5:$C$36,""),F57)</x:f>
      </x:c>
      <x:c r="H57" s="60"/>
      <x:c r="I57" s="38"/>
      <x:c r="J57" s="38"/>
      <x:c r="K57" s="38" t="str">
        <x:f>IFERROR(XLOOKUP(J57,Venues!$A$5:$A$24,Venues!$B$5:$B$24,""),"")</x:f>
      </x:c>
      <x:c r="L57" s="38"/>
      <x:c r="M57" s="38" t="str">
        <x:f>IF(A57="","",TEXT(H57,"yyyy-mm-dd")&amp;" | "&amp;A57&amp;" | "&amp;E57&amp;" v "&amp;G57&amp;" | "&amp;K57)</x:f>
      </x:c>
      <x:c r="N57" s="38" t="str">
        <x:f>IF(A57="","",IF(AND(L57="Scheduled",D57&lt;&gt;"TBD",F57&lt;&gt;"TBD",E57&lt;&gt;"",G57&lt;&gt;"",D57&lt;&gt;F57,J57&lt;&gt;"",K57&lt;&gt;""),"Yes","No"))</x:f>
      </x:c>
      <x:c r="O57" s="38" t="str">
        <x:f>IF(A57="","",IF(COUNTIF($A$5:$A$204,A57)&gt;1,"Duplicate Match ID",IF(OR(D57="",F57="",J57=""),"Missing fixture field",IF(OR(D57="TBD",F57="TBD",E57="",G57=""),"Unresolved placeholder fixture",IF(D57=F57,"Home and away same",IF(K57="","Missing venue display","OK"))))))</x:f>
      </x:c>
    </x:row>
    <x:row r="58" ht="15" hidden="0" customHeight="1">
      <x:c r="A58" s="38"/>
      <x:c r="B58" s="38"/>
      <x:c r="C58" s="38"/>
      <x:c r="D58" s="38"/>
      <x:c r="E58" s="38" t="str">
        <x:f>IFERROR(XLOOKUP(D58,Teams!$A$5:$A$36,Teams!$C$5:$C$36,""),D58)</x:f>
      </x:c>
      <x:c r="F58" s="38"/>
      <x:c r="G58" s="38" t="str">
        <x:f>IFERROR(XLOOKUP(F58,Teams!$A$5:$A$36,Teams!$C$5:$C$36,""),F58)</x:f>
      </x:c>
      <x:c r="H58" s="60"/>
      <x:c r="I58" s="38"/>
      <x:c r="J58" s="38"/>
      <x:c r="K58" s="38" t="str">
        <x:f>IFERROR(XLOOKUP(J58,Venues!$A$5:$A$24,Venues!$B$5:$B$24,""),"")</x:f>
      </x:c>
      <x:c r="L58" s="38"/>
      <x:c r="M58" s="38" t="str">
        <x:f>IF(A58="","",TEXT(H58,"yyyy-mm-dd")&amp;" | "&amp;A58&amp;" | "&amp;E58&amp;" v "&amp;G58&amp;" | "&amp;K58)</x:f>
      </x:c>
      <x:c r="N58" s="38" t="str">
        <x:f>IF(A58="","",IF(AND(L58="Scheduled",D58&lt;&gt;"TBD",F58&lt;&gt;"TBD",E58&lt;&gt;"",G58&lt;&gt;"",D58&lt;&gt;F58,J58&lt;&gt;"",K58&lt;&gt;""),"Yes","No"))</x:f>
      </x:c>
      <x:c r="O58" s="38" t="str">
        <x:f>IF(A58="","",IF(COUNTIF($A$5:$A$204,A58)&gt;1,"Duplicate Match ID",IF(OR(D58="",F58="",J58=""),"Missing fixture field",IF(OR(D58="TBD",F58="TBD",E58="",G58=""),"Unresolved placeholder fixture",IF(D58=F58,"Home and away same",IF(K58="","Missing venue display","OK"))))))</x:f>
      </x:c>
    </x:row>
    <x:row r="59" ht="15" hidden="0" customHeight="1">
      <x:c r="A59" s="38"/>
      <x:c r="B59" s="38"/>
      <x:c r="C59" s="38"/>
      <x:c r="D59" s="38"/>
      <x:c r="E59" s="38" t="str">
        <x:f>IFERROR(XLOOKUP(D59,Teams!$A$5:$A$36,Teams!$C$5:$C$36,""),D59)</x:f>
      </x:c>
      <x:c r="F59" s="38"/>
      <x:c r="G59" s="38" t="str">
        <x:f>IFERROR(XLOOKUP(F59,Teams!$A$5:$A$36,Teams!$C$5:$C$36,""),F59)</x:f>
      </x:c>
      <x:c r="H59" s="60"/>
      <x:c r="I59" s="38"/>
      <x:c r="J59" s="38"/>
      <x:c r="K59" s="38" t="str">
        <x:f>IFERROR(XLOOKUP(J59,Venues!$A$5:$A$24,Venues!$B$5:$B$24,""),"")</x:f>
      </x:c>
      <x:c r="L59" s="38"/>
      <x:c r="M59" s="38" t="str">
        <x:f>IF(A59="","",TEXT(H59,"yyyy-mm-dd")&amp;" | "&amp;A59&amp;" | "&amp;E59&amp;" v "&amp;G59&amp;" | "&amp;K59)</x:f>
      </x:c>
      <x:c r="N59" s="38" t="str">
        <x:f>IF(A59="","",IF(AND(L59="Scheduled",D59&lt;&gt;"TBD",F59&lt;&gt;"TBD",E59&lt;&gt;"",G59&lt;&gt;"",D59&lt;&gt;F59,J59&lt;&gt;"",K59&lt;&gt;""),"Yes","No"))</x:f>
      </x:c>
      <x:c r="O59" s="38" t="str">
        <x:f>IF(A59="","",IF(COUNTIF($A$5:$A$204,A59)&gt;1,"Duplicate Match ID",IF(OR(D59="",F59="",J59=""),"Missing fixture field",IF(OR(D59="TBD",F59="TBD",E59="",G59=""),"Unresolved placeholder fixture",IF(D59=F59,"Home and away same",IF(K59="","Missing venue display","OK"))))))</x:f>
      </x:c>
    </x:row>
    <x:row r="60" ht="15" hidden="0" customHeight="1">
      <x:c r="A60" s="38"/>
      <x:c r="B60" s="38"/>
      <x:c r="C60" s="38"/>
      <x:c r="D60" s="38"/>
      <x:c r="E60" s="38" t="str">
        <x:f>IFERROR(XLOOKUP(D60,Teams!$A$5:$A$36,Teams!$C$5:$C$36,""),D60)</x:f>
      </x:c>
      <x:c r="F60" s="38"/>
      <x:c r="G60" s="38" t="str">
        <x:f>IFERROR(XLOOKUP(F60,Teams!$A$5:$A$36,Teams!$C$5:$C$36,""),F60)</x:f>
      </x:c>
      <x:c r="H60" s="60"/>
      <x:c r="I60" s="38"/>
      <x:c r="J60" s="38"/>
      <x:c r="K60" s="38" t="str">
        <x:f>IFERROR(XLOOKUP(J60,Venues!$A$5:$A$24,Venues!$B$5:$B$24,""),"")</x:f>
      </x:c>
      <x:c r="L60" s="38"/>
      <x:c r="M60" s="38" t="str">
        <x:f>IF(A60="","",TEXT(H60,"yyyy-mm-dd")&amp;" | "&amp;A60&amp;" | "&amp;E60&amp;" v "&amp;G60&amp;" | "&amp;K60)</x:f>
      </x:c>
      <x:c r="N60" s="38" t="str">
        <x:f>IF(A60="","",IF(AND(L60="Scheduled",D60&lt;&gt;"TBD",F60&lt;&gt;"TBD",E60&lt;&gt;"",G60&lt;&gt;"",D60&lt;&gt;F60,J60&lt;&gt;"",K60&lt;&gt;""),"Yes","No"))</x:f>
      </x:c>
      <x:c r="O60" s="38" t="str">
        <x:f>IF(A60="","",IF(COUNTIF($A$5:$A$204,A60)&gt;1,"Duplicate Match ID",IF(OR(D60="",F60="",J60=""),"Missing fixture field",IF(OR(D60="TBD",F60="TBD",E60="",G60=""),"Unresolved placeholder fixture",IF(D60=F60,"Home and away same",IF(K60="","Missing venue display","OK"))))))</x:f>
      </x:c>
    </x:row>
    <x:row r="61" ht="15" hidden="0" customHeight="1">
      <x:c r="A61" s="38"/>
      <x:c r="B61" s="38"/>
      <x:c r="C61" s="38"/>
      <x:c r="D61" s="38"/>
      <x:c r="E61" s="38" t="str">
        <x:f>IFERROR(XLOOKUP(D61,Teams!$A$5:$A$36,Teams!$C$5:$C$36,""),D61)</x:f>
      </x:c>
      <x:c r="F61" s="38"/>
      <x:c r="G61" s="38" t="str">
        <x:f>IFERROR(XLOOKUP(F61,Teams!$A$5:$A$36,Teams!$C$5:$C$36,""),F61)</x:f>
      </x:c>
      <x:c r="H61" s="60"/>
      <x:c r="I61" s="38"/>
      <x:c r="J61" s="38"/>
      <x:c r="K61" s="38" t="str">
        <x:f>IFERROR(XLOOKUP(J61,Venues!$A$5:$A$24,Venues!$B$5:$B$24,""),"")</x:f>
      </x:c>
      <x:c r="L61" s="38"/>
      <x:c r="M61" s="38" t="str">
        <x:f>IF(A61="","",TEXT(H61,"yyyy-mm-dd")&amp;" | "&amp;A61&amp;" | "&amp;E61&amp;" v "&amp;G61&amp;" | "&amp;K61)</x:f>
      </x:c>
      <x:c r="N61" s="38" t="str">
        <x:f>IF(A61="","",IF(AND(L61="Scheduled",D61&lt;&gt;"TBD",F61&lt;&gt;"TBD",E61&lt;&gt;"",G61&lt;&gt;"",D61&lt;&gt;F61,J61&lt;&gt;"",K61&lt;&gt;""),"Yes","No"))</x:f>
      </x:c>
      <x:c r="O61" s="38" t="str">
        <x:f>IF(A61="","",IF(COUNTIF($A$5:$A$204,A61)&gt;1,"Duplicate Match ID",IF(OR(D61="",F61="",J61=""),"Missing fixture field",IF(OR(D61="TBD",F61="TBD",E61="",G61=""),"Unresolved placeholder fixture",IF(D61=F61,"Home and away same",IF(K61="","Missing venue display","OK"))))))</x:f>
      </x:c>
    </x:row>
    <x:row r="62" ht="15" hidden="0" customHeight="1">
      <x:c r="A62" s="38"/>
      <x:c r="B62" s="38"/>
      <x:c r="C62" s="38"/>
      <x:c r="D62" s="38"/>
      <x:c r="E62" s="38" t="str">
        <x:f>IFERROR(XLOOKUP(D62,Teams!$A$5:$A$36,Teams!$C$5:$C$36,""),D62)</x:f>
      </x:c>
      <x:c r="F62" s="38"/>
      <x:c r="G62" s="38" t="str">
        <x:f>IFERROR(XLOOKUP(F62,Teams!$A$5:$A$36,Teams!$C$5:$C$36,""),F62)</x:f>
      </x:c>
      <x:c r="H62" s="60"/>
      <x:c r="I62" s="38"/>
      <x:c r="J62" s="38"/>
      <x:c r="K62" s="38" t="str">
        <x:f>IFERROR(XLOOKUP(J62,Venues!$A$5:$A$24,Venues!$B$5:$B$24,""),"")</x:f>
      </x:c>
      <x:c r="L62" s="38"/>
      <x:c r="M62" s="38" t="str">
        <x:f>IF(A62="","",TEXT(H62,"yyyy-mm-dd")&amp;" | "&amp;A62&amp;" | "&amp;E62&amp;" v "&amp;G62&amp;" | "&amp;K62)</x:f>
      </x:c>
      <x:c r="N62" s="38" t="str">
        <x:f>IF(A62="","",IF(AND(L62="Scheduled",D62&lt;&gt;"TBD",F62&lt;&gt;"TBD",E62&lt;&gt;"",G62&lt;&gt;"",D62&lt;&gt;F62,J62&lt;&gt;"",K62&lt;&gt;""),"Yes","No"))</x:f>
      </x:c>
      <x:c r="O62" s="38" t="str">
        <x:f>IF(A62="","",IF(COUNTIF($A$5:$A$204,A62)&gt;1,"Duplicate Match ID",IF(OR(D62="",F62="",J62=""),"Missing fixture field",IF(OR(D62="TBD",F62="TBD",E62="",G62=""),"Unresolved placeholder fixture",IF(D62=F62,"Home and away same",IF(K62="","Missing venue display","OK"))))))</x:f>
      </x:c>
    </x:row>
    <x:row r="63" ht="15" hidden="0" customHeight="1">
      <x:c r="A63" s="38"/>
      <x:c r="B63" s="38"/>
      <x:c r="C63" s="38"/>
      <x:c r="D63" s="38"/>
      <x:c r="E63" s="38" t="str">
        <x:f>IFERROR(XLOOKUP(D63,Teams!$A$5:$A$36,Teams!$C$5:$C$36,""),D63)</x:f>
      </x:c>
      <x:c r="F63" s="38"/>
      <x:c r="G63" s="38" t="str">
        <x:f>IFERROR(XLOOKUP(F63,Teams!$A$5:$A$36,Teams!$C$5:$C$36,""),F63)</x:f>
      </x:c>
      <x:c r="H63" s="60"/>
      <x:c r="I63" s="38"/>
      <x:c r="J63" s="38"/>
      <x:c r="K63" s="38" t="str">
        <x:f>IFERROR(XLOOKUP(J63,Venues!$A$5:$A$24,Venues!$B$5:$B$24,""),"")</x:f>
      </x:c>
      <x:c r="L63" s="38"/>
      <x:c r="M63" s="38" t="str">
        <x:f>IF(A63="","",TEXT(H63,"yyyy-mm-dd")&amp;" | "&amp;A63&amp;" | "&amp;E63&amp;" v "&amp;G63&amp;" | "&amp;K63)</x:f>
      </x:c>
      <x:c r="N63" s="38" t="str">
        <x:f>IF(A63="","",IF(AND(L63="Scheduled",D63&lt;&gt;"TBD",F63&lt;&gt;"TBD",E63&lt;&gt;"",G63&lt;&gt;"",D63&lt;&gt;F63,J63&lt;&gt;"",K63&lt;&gt;""),"Yes","No"))</x:f>
      </x:c>
      <x:c r="O63" s="38" t="str">
        <x:f>IF(A63="","",IF(COUNTIF($A$5:$A$204,A63)&gt;1,"Duplicate Match ID",IF(OR(D63="",F63="",J63=""),"Missing fixture field",IF(OR(D63="TBD",F63="TBD",E63="",G63=""),"Unresolved placeholder fixture",IF(D63=F63,"Home and away same",IF(K63="","Missing venue display","OK"))))))</x:f>
      </x:c>
    </x:row>
    <x:row r="64" ht="15" hidden="0" customHeight="1">
      <x:c r="A64" s="38"/>
      <x:c r="B64" s="38"/>
      <x:c r="C64" s="38"/>
      <x:c r="D64" s="38"/>
      <x:c r="E64" s="38" t="str">
        <x:f>IFERROR(XLOOKUP(D64,Teams!$A$5:$A$36,Teams!$C$5:$C$36,""),D64)</x:f>
      </x:c>
      <x:c r="F64" s="38"/>
      <x:c r="G64" s="38" t="str">
        <x:f>IFERROR(XLOOKUP(F64,Teams!$A$5:$A$36,Teams!$C$5:$C$36,""),F64)</x:f>
      </x:c>
      <x:c r="H64" s="60"/>
      <x:c r="I64" s="38"/>
      <x:c r="J64" s="38"/>
      <x:c r="K64" s="38" t="str">
        <x:f>IFERROR(XLOOKUP(J64,Venues!$A$5:$A$24,Venues!$B$5:$B$24,""),"")</x:f>
      </x:c>
      <x:c r="L64" s="38"/>
      <x:c r="M64" s="38" t="str">
        <x:f>IF(A64="","",TEXT(H64,"yyyy-mm-dd")&amp;" | "&amp;A64&amp;" | "&amp;E64&amp;" v "&amp;G64&amp;" | "&amp;K64)</x:f>
      </x:c>
      <x:c r="N64" s="38" t="str">
        <x:f>IF(A64="","",IF(AND(L64="Scheduled",D64&lt;&gt;"TBD",F64&lt;&gt;"TBD",E64&lt;&gt;"",G64&lt;&gt;"",D64&lt;&gt;F64,J64&lt;&gt;"",K64&lt;&gt;""),"Yes","No"))</x:f>
      </x:c>
      <x:c r="O64" s="38" t="str">
        <x:f>IF(A64="","",IF(COUNTIF($A$5:$A$204,A64)&gt;1,"Duplicate Match ID",IF(OR(D64="",F64="",J64=""),"Missing fixture field",IF(OR(D64="TBD",F64="TBD",E64="",G64=""),"Unresolved placeholder fixture",IF(D64=F64,"Home and away same",IF(K64="","Missing venue display","OK"))))))</x:f>
      </x:c>
    </x:row>
    <x:row r="65" ht="15" hidden="0" customHeight="1">
      <x:c r="A65" s="38"/>
      <x:c r="B65" s="38"/>
      <x:c r="C65" s="38"/>
      <x:c r="D65" s="38"/>
      <x:c r="E65" s="38" t="str">
        <x:f>IFERROR(XLOOKUP(D65,Teams!$A$5:$A$36,Teams!$C$5:$C$36,""),D65)</x:f>
      </x:c>
      <x:c r="F65" s="38"/>
      <x:c r="G65" s="38" t="str">
        <x:f>IFERROR(XLOOKUP(F65,Teams!$A$5:$A$36,Teams!$C$5:$C$36,""),F65)</x:f>
      </x:c>
      <x:c r="H65" s="60"/>
      <x:c r="I65" s="38"/>
      <x:c r="J65" s="38"/>
      <x:c r="K65" s="38" t="str">
        <x:f>IFERROR(XLOOKUP(J65,Venues!$A$5:$A$24,Venues!$B$5:$B$24,""),"")</x:f>
      </x:c>
      <x:c r="L65" s="38"/>
      <x:c r="M65" s="38" t="str">
        <x:f>IF(A65="","",TEXT(H65,"yyyy-mm-dd")&amp;" | "&amp;A65&amp;" | "&amp;E65&amp;" v "&amp;G65&amp;" | "&amp;K65)</x:f>
      </x:c>
      <x:c r="N65" s="38" t="str">
        <x:f>IF(A65="","",IF(AND(L65="Scheduled",D65&lt;&gt;"TBD",F65&lt;&gt;"TBD",E65&lt;&gt;"",G65&lt;&gt;"",D65&lt;&gt;F65,J65&lt;&gt;"",K65&lt;&gt;""),"Yes","No"))</x:f>
      </x:c>
      <x:c r="O65" s="38" t="str">
        <x:f>IF(A65="","",IF(COUNTIF($A$5:$A$204,A65)&gt;1,"Duplicate Match ID",IF(OR(D65="",F65="",J65=""),"Missing fixture field",IF(OR(D65="TBD",F65="TBD",E65="",G65=""),"Unresolved placeholder fixture",IF(D65=F65,"Home and away same",IF(K65="","Missing venue display","OK"))))))</x:f>
      </x:c>
    </x:row>
    <x:row r="66" ht="15" hidden="0" customHeight="1">
      <x:c r="A66" s="38"/>
      <x:c r="B66" s="38"/>
      <x:c r="C66" s="38"/>
      <x:c r="D66" s="38"/>
      <x:c r="E66" s="38" t="str">
        <x:f>IFERROR(XLOOKUP(D66,Teams!$A$5:$A$36,Teams!$C$5:$C$36,""),D66)</x:f>
      </x:c>
      <x:c r="F66" s="38"/>
      <x:c r="G66" s="38" t="str">
        <x:f>IFERROR(XLOOKUP(F66,Teams!$A$5:$A$36,Teams!$C$5:$C$36,""),F66)</x:f>
      </x:c>
      <x:c r="H66" s="60"/>
      <x:c r="I66" s="38"/>
      <x:c r="J66" s="38"/>
      <x:c r="K66" s="38" t="str">
        <x:f>IFERROR(XLOOKUP(J66,Venues!$A$5:$A$24,Venues!$B$5:$B$24,""),"")</x:f>
      </x:c>
      <x:c r="L66" s="38"/>
      <x:c r="M66" s="38" t="str">
        <x:f>IF(A66="","",TEXT(H66,"yyyy-mm-dd")&amp;" | "&amp;A66&amp;" | "&amp;E66&amp;" v "&amp;G66&amp;" | "&amp;K66)</x:f>
      </x:c>
      <x:c r="N66" s="38" t="str">
        <x:f>IF(A66="","",IF(AND(L66="Scheduled",D66&lt;&gt;"TBD",F66&lt;&gt;"TBD",E66&lt;&gt;"",G66&lt;&gt;"",D66&lt;&gt;F66,J66&lt;&gt;"",K66&lt;&gt;""),"Yes","No"))</x:f>
      </x:c>
      <x:c r="O66" s="38" t="str">
        <x:f>IF(A66="","",IF(COUNTIF($A$5:$A$204,A66)&gt;1,"Duplicate Match ID",IF(OR(D66="",F66="",J66=""),"Missing fixture field",IF(OR(D66="TBD",F66="TBD",E66="",G66=""),"Unresolved placeholder fixture",IF(D66=F66,"Home and away same",IF(K66="","Missing venue display","OK"))))))</x:f>
      </x:c>
    </x:row>
    <x:row r="67" ht="15" hidden="0" customHeight="1">
      <x:c r="A67" s="38"/>
      <x:c r="B67" s="38"/>
      <x:c r="C67" s="38"/>
      <x:c r="D67" s="38"/>
      <x:c r="E67" s="38" t="str">
        <x:f>IFERROR(XLOOKUP(D67,Teams!$A$5:$A$36,Teams!$C$5:$C$36,""),D67)</x:f>
      </x:c>
      <x:c r="F67" s="38"/>
      <x:c r="G67" s="38" t="str">
        <x:f>IFERROR(XLOOKUP(F67,Teams!$A$5:$A$36,Teams!$C$5:$C$36,""),F67)</x:f>
      </x:c>
      <x:c r="H67" s="60"/>
      <x:c r="I67" s="38"/>
      <x:c r="J67" s="38"/>
      <x:c r="K67" s="38" t="str">
        <x:f>IFERROR(XLOOKUP(J67,Venues!$A$5:$A$24,Venues!$B$5:$B$24,""),"")</x:f>
      </x:c>
      <x:c r="L67" s="38"/>
      <x:c r="M67" s="38" t="str">
        <x:f>IF(A67="","",TEXT(H67,"yyyy-mm-dd")&amp;" | "&amp;A67&amp;" | "&amp;E67&amp;" v "&amp;G67&amp;" | "&amp;K67)</x:f>
      </x:c>
      <x:c r="N67" s="38" t="str">
        <x:f>IF(A67="","",IF(AND(L67="Scheduled",D67&lt;&gt;"TBD",F67&lt;&gt;"TBD",E67&lt;&gt;"",G67&lt;&gt;"",D67&lt;&gt;F67,J67&lt;&gt;"",K67&lt;&gt;""),"Yes","No"))</x:f>
      </x:c>
      <x:c r="O67" s="38" t="str">
        <x:f>IF(A67="","",IF(COUNTIF($A$5:$A$204,A67)&gt;1,"Duplicate Match ID",IF(OR(D67="",F67="",J67=""),"Missing fixture field",IF(OR(D67="TBD",F67="TBD",E67="",G67=""),"Unresolved placeholder fixture",IF(D67=F67,"Home and away same",IF(K67="","Missing venue display","OK"))))))</x:f>
      </x:c>
    </x:row>
    <x:row r="68" ht="15" hidden="0" customHeight="1">
      <x:c r="A68" s="38"/>
      <x:c r="B68" s="38"/>
      <x:c r="C68" s="38"/>
      <x:c r="D68" s="38"/>
      <x:c r="E68" s="38" t="str">
        <x:f>IFERROR(XLOOKUP(D68,Teams!$A$5:$A$36,Teams!$C$5:$C$36,""),D68)</x:f>
      </x:c>
      <x:c r="F68" s="38"/>
      <x:c r="G68" s="38" t="str">
        <x:f>IFERROR(XLOOKUP(F68,Teams!$A$5:$A$36,Teams!$C$5:$C$36,""),F68)</x:f>
      </x:c>
      <x:c r="H68" s="60"/>
      <x:c r="I68" s="38"/>
      <x:c r="J68" s="38"/>
      <x:c r="K68" s="38" t="str">
        <x:f>IFERROR(XLOOKUP(J68,Venues!$A$5:$A$24,Venues!$B$5:$B$24,""),"")</x:f>
      </x:c>
      <x:c r="L68" s="38"/>
      <x:c r="M68" s="38" t="str">
        <x:f>IF(A68="","",TEXT(H68,"yyyy-mm-dd")&amp;" | "&amp;A68&amp;" | "&amp;E68&amp;" v "&amp;G68&amp;" | "&amp;K68)</x:f>
      </x:c>
      <x:c r="N68" s="38" t="str">
        <x:f>IF(A68="","",IF(AND(L68="Scheduled",D68&lt;&gt;"TBD",F68&lt;&gt;"TBD",E68&lt;&gt;"",G68&lt;&gt;"",D68&lt;&gt;F68,J68&lt;&gt;"",K68&lt;&gt;""),"Yes","No"))</x:f>
      </x:c>
      <x:c r="O68" s="38" t="str">
        <x:f>IF(A68="","",IF(COUNTIF($A$5:$A$204,A68)&gt;1,"Duplicate Match ID",IF(OR(D68="",F68="",J68=""),"Missing fixture field",IF(OR(D68="TBD",F68="TBD",E68="",G68=""),"Unresolved placeholder fixture",IF(D68=F68,"Home and away same",IF(K68="","Missing venue display","OK"))))))</x:f>
      </x:c>
    </x:row>
    <x:row r="69" ht="15" hidden="0" customHeight="1">
      <x:c r="A69" s="38"/>
      <x:c r="B69" s="38"/>
      <x:c r="C69" s="38"/>
      <x:c r="D69" s="38"/>
      <x:c r="E69" s="38" t="str">
        <x:f>IFERROR(XLOOKUP(D69,Teams!$A$5:$A$36,Teams!$C$5:$C$36,""),D69)</x:f>
      </x:c>
      <x:c r="F69" s="38"/>
      <x:c r="G69" s="38" t="str">
        <x:f>IFERROR(XLOOKUP(F69,Teams!$A$5:$A$36,Teams!$C$5:$C$36,""),F69)</x:f>
      </x:c>
      <x:c r="H69" s="60"/>
      <x:c r="I69" s="38"/>
      <x:c r="J69" s="38"/>
      <x:c r="K69" s="38" t="str">
        <x:f>IFERROR(XLOOKUP(J69,Venues!$A$5:$A$24,Venues!$B$5:$B$24,""),"")</x:f>
      </x:c>
      <x:c r="L69" s="38"/>
      <x:c r="M69" s="38" t="str">
        <x:f>IF(A69="","",TEXT(H69,"yyyy-mm-dd")&amp;" | "&amp;A69&amp;" | "&amp;E69&amp;" v "&amp;G69&amp;" | "&amp;K69)</x:f>
      </x:c>
      <x:c r="N69" s="38" t="str">
        <x:f>IF(A69="","",IF(AND(L69="Scheduled",D69&lt;&gt;"TBD",F69&lt;&gt;"TBD",E69&lt;&gt;"",G69&lt;&gt;"",D69&lt;&gt;F69,J69&lt;&gt;"",K69&lt;&gt;""),"Yes","No"))</x:f>
      </x:c>
      <x:c r="O69" s="38" t="str">
        <x:f>IF(A69="","",IF(COUNTIF($A$5:$A$204,A69)&gt;1,"Duplicate Match ID",IF(OR(D69="",F69="",J69=""),"Missing fixture field",IF(OR(D69="TBD",F69="TBD",E69="",G69=""),"Unresolved placeholder fixture",IF(D69=F69,"Home and away same",IF(K69="","Missing venue display","OK"))))))</x:f>
      </x:c>
    </x:row>
    <x:row r="70" ht="15" hidden="0" customHeight="1">
      <x:c r="A70" s="38"/>
      <x:c r="B70" s="38"/>
      <x:c r="C70" s="38"/>
      <x:c r="D70" s="38"/>
      <x:c r="E70" s="38" t="str">
        <x:f>IFERROR(XLOOKUP(D70,Teams!$A$5:$A$36,Teams!$C$5:$C$36,""),D70)</x:f>
      </x:c>
      <x:c r="F70" s="38"/>
      <x:c r="G70" s="38" t="str">
        <x:f>IFERROR(XLOOKUP(F70,Teams!$A$5:$A$36,Teams!$C$5:$C$36,""),F70)</x:f>
      </x:c>
      <x:c r="H70" s="60"/>
      <x:c r="I70" s="38"/>
      <x:c r="J70" s="38"/>
      <x:c r="K70" s="38" t="str">
        <x:f>IFERROR(XLOOKUP(J70,Venues!$A$5:$A$24,Venues!$B$5:$B$24,""),"")</x:f>
      </x:c>
      <x:c r="L70" s="38"/>
      <x:c r="M70" s="38" t="str">
        <x:f>IF(A70="","",TEXT(H70,"yyyy-mm-dd")&amp;" | "&amp;A70&amp;" | "&amp;E70&amp;" v "&amp;G70&amp;" | "&amp;K70)</x:f>
      </x:c>
      <x:c r="N70" s="38" t="str">
        <x:f>IF(A70="","",IF(AND(L70="Scheduled",D70&lt;&gt;"TBD",F70&lt;&gt;"TBD",E70&lt;&gt;"",G70&lt;&gt;"",D70&lt;&gt;F70,J70&lt;&gt;"",K70&lt;&gt;""),"Yes","No"))</x:f>
      </x:c>
      <x:c r="O70" s="38" t="str">
        <x:f>IF(A70="","",IF(COUNTIF($A$5:$A$204,A70)&gt;1,"Duplicate Match ID",IF(OR(D70="",F70="",J70=""),"Missing fixture field",IF(OR(D70="TBD",F70="TBD",E70="",G70=""),"Unresolved placeholder fixture",IF(D70=F70,"Home and away same",IF(K70="","Missing venue display","OK"))))))</x:f>
      </x:c>
    </x:row>
    <x:row r="71" ht="15" hidden="0" customHeight="1">
      <x:c r="A71" s="38"/>
      <x:c r="B71" s="38"/>
      <x:c r="C71" s="38"/>
      <x:c r="D71" s="38"/>
      <x:c r="E71" s="38" t="str">
        <x:f>IFERROR(XLOOKUP(D71,Teams!$A$5:$A$36,Teams!$C$5:$C$36,""),D71)</x:f>
      </x:c>
      <x:c r="F71" s="38"/>
      <x:c r="G71" s="38" t="str">
        <x:f>IFERROR(XLOOKUP(F71,Teams!$A$5:$A$36,Teams!$C$5:$C$36,""),F71)</x:f>
      </x:c>
      <x:c r="H71" s="60"/>
      <x:c r="I71" s="38"/>
      <x:c r="J71" s="38"/>
      <x:c r="K71" s="38" t="str">
        <x:f>IFERROR(XLOOKUP(J71,Venues!$A$5:$A$24,Venues!$B$5:$B$24,""),"")</x:f>
      </x:c>
      <x:c r="L71" s="38"/>
      <x:c r="M71" s="38" t="str">
        <x:f>IF(A71="","",TEXT(H71,"yyyy-mm-dd")&amp;" | "&amp;A71&amp;" | "&amp;E71&amp;" v "&amp;G71&amp;" | "&amp;K71)</x:f>
      </x:c>
      <x:c r="N71" s="38" t="str">
        <x:f>IF(A71="","",IF(AND(L71="Scheduled",D71&lt;&gt;"TBD",F71&lt;&gt;"TBD",E71&lt;&gt;"",G71&lt;&gt;"",D71&lt;&gt;F71,J71&lt;&gt;"",K71&lt;&gt;""),"Yes","No"))</x:f>
      </x:c>
      <x:c r="O71" s="38" t="str">
        <x:f>IF(A71="","",IF(COUNTIF($A$5:$A$204,A71)&gt;1,"Duplicate Match ID",IF(OR(D71="",F71="",J71=""),"Missing fixture field",IF(OR(D71="TBD",F71="TBD",E71="",G71=""),"Unresolved placeholder fixture",IF(D71=F71,"Home and away same",IF(K71="","Missing venue display","OK"))))))</x:f>
      </x:c>
    </x:row>
    <x:row r="72" ht="15" hidden="0" customHeight="1">
      <x:c r="A72" s="38"/>
      <x:c r="B72" s="38"/>
      <x:c r="C72" s="38"/>
      <x:c r="D72" s="38"/>
      <x:c r="E72" s="38" t="str">
        <x:f>IFERROR(XLOOKUP(D72,Teams!$A$5:$A$36,Teams!$C$5:$C$36,""),D72)</x:f>
      </x:c>
      <x:c r="F72" s="38"/>
      <x:c r="G72" s="38" t="str">
        <x:f>IFERROR(XLOOKUP(F72,Teams!$A$5:$A$36,Teams!$C$5:$C$36,""),F72)</x:f>
      </x:c>
      <x:c r="H72" s="60"/>
      <x:c r="I72" s="38"/>
      <x:c r="J72" s="38"/>
      <x:c r="K72" s="38" t="str">
        <x:f>IFERROR(XLOOKUP(J72,Venues!$A$5:$A$24,Venues!$B$5:$B$24,""),"")</x:f>
      </x:c>
      <x:c r="L72" s="38"/>
      <x:c r="M72" s="38" t="str">
        <x:f>IF(A72="","",TEXT(H72,"yyyy-mm-dd")&amp;" | "&amp;A72&amp;" | "&amp;E72&amp;" v "&amp;G72&amp;" | "&amp;K72)</x:f>
      </x:c>
      <x:c r="N72" s="38" t="str">
        <x:f>IF(A72="","",IF(AND(L72="Scheduled",D72&lt;&gt;"TBD",F72&lt;&gt;"TBD",E72&lt;&gt;"",G72&lt;&gt;"",D72&lt;&gt;F72,J72&lt;&gt;"",K72&lt;&gt;""),"Yes","No"))</x:f>
      </x:c>
      <x:c r="O72" s="38" t="str">
        <x:f>IF(A72="","",IF(COUNTIF($A$5:$A$204,A72)&gt;1,"Duplicate Match ID",IF(OR(D72="",F72="",J72=""),"Missing fixture field",IF(OR(D72="TBD",F72="TBD",E72="",G72=""),"Unresolved placeholder fixture",IF(D72=F72,"Home and away same",IF(K72="","Missing venue display","OK"))))))</x:f>
      </x:c>
    </x:row>
    <x:row r="73" ht="15" hidden="0" customHeight="1">
      <x:c r="A73" s="38"/>
      <x:c r="B73" s="38"/>
      <x:c r="C73" s="38"/>
      <x:c r="D73" s="38"/>
      <x:c r="E73" s="38" t="str">
        <x:f>IFERROR(XLOOKUP(D73,Teams!$A$5:$A$36,Teams!$C$5:$C$36,""),D73)</x:f>
      </x:c>
      <x:c r="F73" s="38"/>
      <x:c r="G73" s="38" t="str">
        <x:f>IFERROR(XLOOKUP(F73,Teams!$A$5:$A$36,Teams!$C$5:$C$36,""),F73)</x:f>
      </x:c>
      <x:c r="H73" s="60"/>
      <x:c r="I73" s="38"/>
      <x:c r="J73" s="38"/>
      <x:c r="K73" s="38" t="str">
        <x:f>IFERROR(XLOOKUP(J73,Venues!$A$5:$A$24,Venues!$B$5:$B$24,""),"")</x:f>
      </x:c>
      <x:c r="L73" s="38"/>
      <x:c r="M73" s="38" t="str">
        <x:f>IF(A73="","",TEXT(H73,"yyyy-mm-dd")&amp;" | "&amp;A73&amp;" | "&amp;E73&amp;" v "&amp;G73&amp;" | "&amp;K73)</x:f>
      </x:c>
      <x:c r="N73" s="38" t="str">
        <x:f>IF(A73="","",IF(AND(L73="Scheduled",D73&lt;&gt;"TBD",F73&lt;&gt;"TBD",E73&lt;&gt;"",G73&lt;&gt;"",D73&lt;&gt;F73,J73&lt;&gt;"",K73&lt;&gt;""),"Yes","No"))</x:f>
      </x:c>
      <x:c r="O73" s="38" t="str">
        <x:f>IF(A73="","",IF(COUNTIF($A$5:$A$204,A73)&gt;1,"Duplicate Match ID",IF(OR(D73="",F73="",J73=""),"Missing fixture field",IF(OR(D73="TBD",F73="TBD",E73="",G73=""),"Unresolved placeholder fixture",IF(D73=F73,"Home and away same",IF(K73="","Missing venue display","OK"))))))</x:f>
      </x:c>
    </x:row>
    <x:row r="74" ht="15" hidden="0" customHeight="1">
      <x:c r="A74" s="38"/>
      <x:c r="B74" s="38"/>
      <x:c r="C74" s="38"/>
      <x:c r="D74" s="38"/>
      <x:c r="E74" s="38" t="str">
        <x:f>IFERROR(XLOOKUP(D74,Teams!$A$5:$A$36,Teams!$C$5:$C$36,""),D74)</x:f>
      </x:c>
      <x:c r="F74" s="38"/>
      <x:c r="G74" s="38" t="str">
        <x:f>IFERROR(XLOOKUP(F74,Teams!$A$5:$A$36,Teams!$C$5:$C$36,""),F74)</x:f>
      </x:c>
      <x:c r="H74" s="60"/>
      <x:c r="I74" s="38"/>
      <x:c r="J74" s="38"/>
      <x:c r="K74" s="38" t="str">
        <x:f>IFERROR(XLOOKUP(J74,Venues!$A$5:$A$24,Venues!$B$5:$B$24,""),"")</x:f>
      </x:c>
      <x:c r="L74" s="38"/>
      <x:c r="M74" s="38" t="str">
        <x:f>IF(A74="","",TEXT(H74,"yyyy-mm-dd")&amp;" | "&amp;A74&amp;" | "&amp;E74&amp;" v "&amp;G74&amp;" | "&amp;K74)</x:f>
      </x:c>
      <x:c r="N74" s="38" t="str">
        <x:f>IF(A74="","",IF(AND(L74="Scheduled",D74&lt;&gt;"TBD",F74&lt;&gt;"TBD",E74&lt;&gt;"",G74&lt;&gt;"",D74&lt;&gt;F74,J74&lt;&gt;"",K74&lt;&gt;""),"Yes","No"))</x:f>
      </x:c>
      <x:c r="O74" s="38" t="str">
        <x:f>IF(A74="","",IF(COUNTIF($A$5:$A$204,A74)&gt;1,"Duplicate Match ID",IF(OR(D74="",F74="",J74=""),"Missing fixture field",IF(OR(D74="TBD",F74="TBD",E74="",G74=""),"Unresolved placeholder fixture",IF(D74=F74,"Home and away same",IF(K74="","Missing venue display","OK"))))))</x:f>
      </x:c>
    </x:row>
    <x:row r="75" ht="15" hidden="0" customHeight="1">
      <x:c r="A75" s="38"/>
      <x:c r="B75" s="38"/>
      <x:c r="C75" s="38"/>
      <x:c r="D75" s="38"/>
      <x:c r="E75" s="38" t="str">
        <x:f>IFERROR(XLOOKUP(D75,Teams!$A$5:$A$36,Teams!$C$5:$C$36,""),D75)</x:f>
      </x:c>
      <x:c r="F75" s="38"/>
      <x:c r="G75" s="38" t="str">
        <x:f>IFERROR(XLOOKUP(F75,Teams!$A$5:$A$36,Teams!$C$5:$C$36,""),F75)</x:f>
      </x:c>
      <x:c r="H75" s="60"/>
      <x:c r="I75" s="38"/>
      <x:c r="J75" s="38"/>
      <x:c r="K75" s="38" t="str">
        <x:f>IFERROR(XLOOKUP(J75,Venues!$A$5:$A$24,Venues!$B$5:$B$24,""),"")</x:f>
      </x:c>
      <x:c r="L75" s="38"/>
      <x:c r="M75" s="38" t="str">
        <x:f>IF(A75="","",TEXT(H75,"yyyy-mm-dd")&amp;" | "&amp;A75&amp;" | "&amp;E75&amp;" v "&amp;G75&amp;" | "&amp;K75)</x:f>
      </x:c>
      <x:c r="N75" s="38" t="str">
        <x:f>IF(A75="","",IF(AND(L75="Scheduled",D75&lt;&gt;"TBD",F75&lt;&gt;"TBD",E75&lt;&gt;"",G75&lt;&gt;"",D75&lt;&gt;F75,J75&lt;&gt;"",K75&lt;&gt;""),"Yes","No"))</x:f>
      </x:c>
      <x:c r="O75" s="38" t="str">
        <x:f>IF(A75="","",IF(COUNTIF($A$5:$A$204,A75)&gt;1,"Duplicate Match ID",IF(OR(D75="",F75="",J75=""),"Missing fixture field",IF(OR(D75="TBD",F75="TBD",E75="",G75=""),"Unresolved placeholder fixture",IF(D75=F75,"Home and away same",IF(K75="","Missing venue display","OK"))))))</x:f>
      </x:c>
    </x:row>
    <x:row r="76" ht="15" hidden="0" customHeight="1">
      <x:c r="A76" s="38"/>
      <x:c r="B76" s="38"/>
      <x:c r="C76" s="38"/>
      <x:c r="D76" s="38"/>
      <x:c r="E76" s="38" t="str">
        <x:f>IFERROR(XLOOKUP(D76,Teams!$A$5:$A$36,Teams!$C$5:$C$36,""),D76)</x:f>
      </x:c>
      <x:c r="F76" s="38"/>
      <x:c r="G76" s="38" t="str">
        <x:f>IFERROR(XLOOKUP(F76,Teams!$A$5:$A$36,Teams!$C$5:$C$36,""),F76)</x:f>
      </x:c>
      <x:c r="H76" s="60"/>
      <x:c r="I76" s="38"/>
      <x:c r="J76" s="38"/>
      <x:c r="K76" s="38" t="str">
        <x:f>IFERROR(XLOOKUP(J76,Venues!$A$5:$A$24,Venues!$B$5:$B$24,""),"")</x:f>
      </x:c>
      <x:c r="L76" s="38"/>
      <x:c r="M76" s="38" t="str">
        <x:f>IF(A76="","",TEXT(H76,"yyyy-mm-dd")&amp;" | "&amp;A76&amp;" | "&amp;E76&amp;" v "&amp;G76&amp;" | "&amp;K76)</x:f>
      </x:c>
      <x:c r="N76" s="38" t="str">
        <x:f>IF(A76="","",IF(AND(L76="Scheduled",D76&lt;&gt;"TBD",F76&lt;&gt;"TBD",E76&lt;&gt;"",G76&lt;&gt;"",D76&lt;&gt;F76,J76&lt;&gt;"",K76&lt;&gt;""),"Yes","No"))</x:f>
      </x:c>
      <x:c r="O76" s="38" t="str">
        <x:f>IF(A76="","",IF(COUNTIF($A$5:$A$204,A76)&gt;1,"Duplicate Match ID",IF(OR(D76="",F76="",J76=""),"Missing fixture field",IF(OR(D76="TBD",F76="TBD",E76="",G76=""),"Unresolved placeholder fixture",IF(D76=F76,"Home and away same",IF(K76="","Missing venue display","OK"))))))</x:f>
      </x:c>
    </x:row>
    <x:row r="77" ht="15" hidden="0" customHeight="1">
      <x:c r="A77" s="38"/>
      <x:c r="B77" s="38"/>
      <x:c r="C77" s="38"/>
      <x:c r="D77" s="38"/>
      <x:c r="E77" s="38" t="str">
        <x:f>IFERROR(XLOOKUP(D77,Teams!$A$5:$A$36,Teams!$C$5:$C$36,""),D77)</x:f>
      </x:c>
      <x:c r="F77" s="38"/>
      <x:c r="G77" s="38" t="str">
        <x:f>IFERROR(XLOOKUP(F77,Teams!$A$5:$A$36,Teams!$C$5:$C$36,""),F77)</x:f>
      </x:c>
      <x:c r="H77" s="60"/>
      <x:c r="I77" s="38"/>
      <x:c r="J77" s="38"/>
      <x:c r="K77" s="38" t="str">
        <x:f>IFERROR(XLOOKUP(J77,Venues!$A$5:$A$24,Venues!$B$5:$B$24,""),"")</x:f>
      </x:c>
      <x:c r="L77" s="38"/>
      <x:c r="M77" s="38" t="str">
        <x:f>IF(A77="","",TEXT(H77,"yyyy-mm-dd")&amp;" | "&amp;A77&amp;" | "&amp;E77&amp;" v "&amp;G77&amp;" | "&amp;K77)</x:f>
      </x:c>
      <x:c r="N77" s="38" t="str">
        <x:f>IF(A77="","",IF(AND(L77="Scheduled",D77&lt;&gt;"TBD",F77&lt;&gt;"TBD",E77&lt;&gt;"",G77&lt;&gt;"",D77&lt;&gt;F77,J77&lt;&gt;"",K77&lt;&gt;""),"Yes","No"))</x:f>
      </x:c>
      <x:c r="O77" s="38" t="str">
        <x:f>IF(A77="","",IF(COUNTIF($A$5:$A$204,A77)&gt;1,"Duplicate Match ID",IF(OR(D77="",F77="",J77=""),"Missing fixture field",IF(OR(D77="TBD",F77="TBD",E77="",G77=""),"Unresolved placeholder fixture",IF(D77=F77,"Home and away same",IF(K77="","Missing venue display","OK"))))))</x:f>
      </x:c>
    </x:row>
    <x:row r="78" ht="15" hidden="0" customHeight="1">
      <x:c r="A78" s="38"/>
      <x:c r="B78" s="38"/>
      <x:c r="C78" s="38"/>
      <x:c r="D78" s="38"/>
      <x:c r="E78" s="38" t="str">
        <x:f>IFERROR(XLOOKUP(D78,Teams!$A$5:$A$36,Teams!$C$5:$C$36,""),D78)</x:f>
      </x:c>
      <x:c r="F78" s="38"/>
      <x:c r="G78" s="38" t="str">
        <x:f>IFERROR(XLOOKUP(F78,Teams!$A$5:$A$36,Teams!$C$5:$C$36,""),F78)</x:f>
      </x:c>
      <x:c r="H78" s="60"/>
      <x:c r="I78" s="38"/>
      <x:c r="J78" s="38"/>
      <x:c r="K78" s="38" t="str">
        <x:f>IFERROR(XLOOKUP(J78,Venues!$A$5:$A$24,Venues!$B$5:$B$24,""),"")</x:f>
      </x:c>
      <x:c r="L78" s="38"/>
      <x:c r="M78" s="38" t="str">
        <x:f>IF(A78="","",TEXT(H78,"yyyy-mm-dd")&amp;" | "&amp;A78&amp;" | "&amp;E78&amp;" v "&amp;G78&amp;" | "&amp;K78)</x:f>
      </x:c>
      <x:c r="N78" s="38" t="str">
        <x:f>IF(A78="","",IF(AND(L78="Scheduled",D78&lt;&gt;"TBD",F78&lt;&gt;"TBD",E78&lt;&gt;"",G78&lt;&gt;"",D78&lt;&gt;F78,J78&lt;&gt;"",K78&lt;&gt;""),"Yes","No"))</x:f>
      </x:c>
      <x:c r="O78" s="38" t="str">
        <x:f>IF(A78="","",IF(COUNTIF($A$5:$A$204,A78)&gt;1,"Duplicate Match ID",IF(OR(D78="",F78="",J78=""),"Missing fixture field",IF(OR(D78="TBD",F78="TBD",E78="",G78=""),"Unresolved placeholder fixture",IF(D78=F78,"Home and away same",IF(K78="","Missing venue display","OK"))))))</x:f>
      </x:c>
    </x:row>
    <x:row r="79" ht="15" hidden="0" customHeight="1">
      <x:c r="A79" s="38"/>
      <x:c r="B79" s="38"/>
      <x:c r="C79" s="38"/>
      <x:c r="D79" s="38"/>
      <x:c r="E79" s="38" t="str">
        <x:f>IFERROR(XLOOKUP(D79,Teams!$A$5:$A$36,Teams!$C$5:$C$36,""),D79)</x:f>
      </x:c>
      <x:c r="F79" s="38"/>
      <x:c r="G79" s="38" t="str">
        <x:f>IFERROR(XLOOKUP(F79,Teams!$A$5:$A$36,Teams!$C$5:$C$36,""),F79)</x:f>
      </x:c>
      <x:c r="H79" s="60"/>
      <x:c r="I79" s="38"/>
      <x:c r="J79" s="38"/>
      <x:c r="K79" s="38" t="str">
        <x:f>IFERROR(XLOOKUP(J79,Venues!$A$5:$A$24,Venues!$B$5:$B$24,""),"")</x:f>
      </x:c>
      <x:c r="L79" s="38"/>
      <x:c r="M79" s="38" t="str">
        <x:f>IF(A79="","",TEXT(H79,"yyyy-mm-dd")&amp;" | "&amp;A79&amp;" | "&amp;E79&amp;" v "&amp;G79&amp;" | "&amp;K79)</x:f>
      </x:c>
      <x:c r="N79" s="38" t="str">
        <x:f>IF(A79="","",IF(AND(L79="Scheduled",D79&lt;&gt;"TBD",F79&lt;&gt;"TBD",E79&lt;&gt;"",G79&lt;&gt;"",D79&lt;&gt;F79,J79&lt;&gt;"",K79&lt;&gt;""),"Yes","No"))</x:f>
      </x:c>
      <x:c r="O79" s="38" t="str">
        <x:f>IF(A79="","",IF(COUNTIF($A$5:$A$204,A79)&gt;1,"Duplicate Match ID",IF(OR(D79="",F79="",J79=""),"Missing fixture field",IF(OR(D79="TBD",F79="TBD",E79="",G79=""),"Unresolved placeholder fixture",IF(D79=F79,"Home and away same",IF(K79="","Missing venue display","OK"))))))</x:f>
      </x:c>
    </x:row>
    <x:row r="80" ht="15" hidden="0" customHeight="1">
      <x:c r="A80" s="38"/>
      <x:c r="B80" s="38"/>
      <x:c r="C80" s="38"/>
      <x:c r="D80" s="38"/>
      <x:c r="E80" s="38" t="str">
        <x:f>IFERROR(XLOOKUP(D80,Teams!$A$5:$A$36,Teams!$C$5:$C$36,""),D80)</x:f>
      </x:c>
      <x:c r="F80" s="38"/>
      <x:c r="G80" s="38" t="str">
        <x:f>IFERROR(XLOOKUP(F80,Teams!$A$5:$A$36,Teams!$C$5:$C$36,""),F80)</x:f>
      </x:c>
      <x:c r="H80" s="60"/>
      <x:c r="I80" s="38"/>
      <x:c r="J80" s="38"/>
      <x:c r="K80" s="38" t="str">
        <x:f>IFERROR(XLOOKUP(J80,Venues!$A$5:$A$24,Venues!$B$5:$B$24,""),"")</x:f>
      </x:c>
      <x:c r="L80" s="38"/>
      <x:c r="M80" s="38" t="str">
        <x:f>IF(A80="","",TEXT(H80,"yyyy-mm-dd")&amp;" | "&amp;A80&amp;" | "&amp;E80&amp;" v "&amp;G80&amp;" | "&amp;K80)</x:f>
      </x:c>
      <x:c r="N80" s="38" t="str">
        <x:f>IF(A80="","",IF(AND(L80="Scheduled",D80&lt;&gt;"TBD",F80&lt;&gt;"TBD",E80&lt;&gt;"",G80&lt;&gt;"",D80&lt;&gt;F80,J80&lt;&gt;"",K80&lt;&gt;""),"Yes","No"))</x:f>
      </x:c>
      <x:c r="O80" s="38" t="str">
        <x:f>IF(A80="","",IF(COUNTIF($A$5:$A$204,A80)&gt;1,"Duplicate Match ID",IF(OR(D80="",F80="",J80=""),"Missing fixture field",IF(OR(D80="TBD",F80="TBD",E80="",G80=""),"Unresolved placeholder fixture",IF(D80=F80,"Home and away same",IF(K80="","Missing venue display","OK"))))))</x:f>
      </x:c>
    </x:row>
    <x:row r="81" ht="15" hidden="0" customHeight="1">
      <x:c r="A81" s="38"/>
      <x:c r="B81" s="38"/>
      <x:c r="C81" s="38"/>
      <x:c r="D81" s="38"/>
      <x:c r="E81" s="38" t="str">
        <x:f>IFERROR(XLOOKUP(D81,Teams!$A$5:$A$36,Teams!$C$5:$C$36,""),D81)</x:f>
      </x:c>
      <x:c r="F81" s="38"/>
      <x:c r="G81" s="38" t="str">
        <x:f>IFERROR(XLOOKUP(F81,Teams!$A$5:$A$36,Teams!$C$5:$C$36,""),F81)</x:f>
      </x:c>
      <x:c r="H81" s="60"/>
      <x:c r="I81" s="38"/>
      <x:c r="J81" s="38"/>
      <x:c r="K81" s="38" t="str">
        <x:f>IFERROR(XLOOKUP(J81,Venues!$A$5:$A$24,Venues!$B$5:$B$24,""),"")</x:f>
      </x:c>
      <x:c r="L81" s="38"/>
      <x:c r="M81" s="38" t="str">
        <x:f>IF(A81="","",TEXT(H81,"yyyy-mm-dd")&amp;" | "&amp;A81&amp;" | "&amp;E81&amp;" v "&amp;G81&amp;" | "&amp;K81)</x:f>
      </x:c>
      <x:c r="N81" s="38" t="str">
        <x:f>IF(A81="","",IF(AND(L81="Scheduled",D81&lt;&gt;"TBD",F81&lt;&gt;"TBD",E81&lt;&gt;"",G81&lt;&gt;"",D81&lt;&gt;F81,J81&lt;&gt;"",K81&lt;&gt;""),"Yes","No"))</x:f>
      </x:c>
      <x:c r="O81" s="38" t="str">
        <x:f>IF(A81="","",IF(COUNTIF($A$5:$A$204,A81)&gt;1,"Duplicate Match ID",IF(OR(D81="",F81="",J81=""),"Missing fixture field",IF(OR(D81="TBD",F81="TBD",E81="",G81=""),"Unresolved placeholder fixture",IF(D81=F81,"Home and away same",IF(K81="","Missing venue display","OK"))))))</x:f>
      </x:c>
    </x:row>
    <x:row r="82" ht="15" hidden="0" customHeight="1">
      <x:c r="A82" s="38"/>
      <x:c r="B82" s="38"/>
      <x:c r="C82" s="38"/>
      <x:c r="D82" s="38"/>
      <x:c r="E82" s="38" t="str">
        <x:f>IFERROR(XLOOKUP(D82,Teams!$A$5:$A$36,Teams!$C$5:$C$36,""),D82)</x:f>
      </x:c>
      <x:c r="F82" s="38"/>
      <x:c r="G82" s="38" t="str">
        <x:f>IFERROR(XLOOKUP(F82,Teams!$A$5:$A$36,Teams!$C$5:$C$36,""),F82)</x:f>
      </x:c>
      <x:c r="H82" s="60"/>
      <x:c r="I82" s="38"/>
      <x:c r="J82" s="38"/>
      <x:c r="K82" s="38" t="str">
        <x:f>IFERROR(XLOOKUP(J82,Venues!$A$5:$A$24,Venues!$B$5:$B$24,""),"")</x:f>
      </x:c>
      <x:c r="L82" s="38"/>
      <x:c r="M82" s="38" t="str">
        <x:f>IF(A82="","",TEXT(H82,"yyyy-mm-dd")&amp;" | "&amp;A82&amp;" | "&amp;E82&amp;" v "&amp;G82&amp;" | "&amp;K82)</x:f>
      </x:c>
      <x:c r="N82" s="38" t="str">
        <x:f>IF(A82="","",IF(AND(L82="Scheduled",D82&lt;&gt;"TBD",F82&lt;&gt;"TBD",E82&lt;&gt;"",G82&lt;&gt;"",D82&lt;&gt;F82,J82&lt;&gt;"",K82&lt;&gt;""),"Yes","No"))</x:f>
      </x:c>
      <x:c r="O82" s="38" t="str">
        <x:f>IF(A82="","",IF(COUNTIF($A$5:$A$204,A82)&gt;1,"Duplicate Match ID",IF(OR(D82="",F82="",J82=""),"Missing fixture field",IF(OR(D82="TBD",F82="TBD",E82="",G82=""),"Unresolved placeholder fixture",IF(D82=F82,"Home and away same",IF(K82="","Missing venue display","OK"))))))</x:f>
      </x:c>
    </x:row>
    <x:row r="83" ht="15" hidden="0" customHeight="1">
      <x:c r="A83" s="38"/>
      <x:c r="B83" s="38"/>
      <x:c r="C83" s="38"/>
      <x:c r="D83" s="38"/>
      <x:c r="E83" s="38" t="str">
        <x:f>IFERROR(XLOOKUP(D83,Teams!$A$5:$A$36,Teams!$C$5:$C$36,""),D83)</x:f>
      </x:c>
      <x:c r="F83" s="38"/>
      <x:c r="G83" s="38" t="str">
        <x:f>IFERROR(XLOOKUP(F83,Teams!$A$5:$A$36,Teams!$C$5:$C$36,""),F83)</x:f>
      </x:c>
      <x:c r="H83" s="60"/>
      <x:c r="I83" s="38"/>
      <x:c r="J83" s="38"/>
      <x:c r="K83" s="38" t="str">
        <x:f>IFERROR(XLOOKUP(J83,Venues!$A$5:$A$24,Venues!$B$5:$B$24,""),"")</x:f>
      </x:c>
      <x:c r="L83" s="38"/>
      <x:c r="M83" s="38" t="str">
        <x:f>IF(A83="","",TEXT(H83,"yyyy-mm-dd")&amp;" | "&amp;A83&amp;" | "&amp;E83&amp;" v "&amp;G83&amp;" | "&amp;K83)</x:f>
      </x:c>
      <x:c r="N83" s="38" t="str">
        <x:f>IF(A83="","",IF(AND(L83="Scheduled",D83&lt;&gt;"TBD",F83&lt;&gt;"TBD",E83&lt;&gt;"",G83&lt;&gt;"",D83&lt;&gt;F83,J83&lt;&gt;"",K83&lt;&gt;""),"Yes","No"))</x:f>
      </x:c>
      <x:c r="O83" s="38" t="str">
        <x:f>IF(A83="","",IF(COUNTIF($A$5:$A$204,A83)&gt;1,"Duplicate Match ID",IF(OR(D83="",F83="",J83=""),"Missing fixture field",IF(OR(D83="TBD",F83="TBD",E83="",G83=""),"Unresolved placeholder fixture",IF(D83=F83,"Home and away same",IF(K83="","Missing venue display","OK"))))))</x:f>
      </x:c>
    </x:row>
    <x:row r="84" ht="15" hidden="0" customHeight="1">
      <x:c r="A84" s="38"/>
      <x:c r="B84" s="38"/>
      <x:c r="C84" s="38"/>
      <x:c r="D84" s="38"/>
      <x:c r="E84" s="38" t="str">
        <x:f>IFERROR(XLOOKUP(D84,Teams!$A$5:$A$36,Teams!$C$5:$C$36,""),D84)</x:f>
      </x:c>
      <x:c r="F84" s="38"/>
      <x:c r="G84" s="38" t="str">
        <x:f>IFERROR(XLOOKUP(F84,Teams!$A$5:$A$36,Teams!$C$5:$C$36,""),F84)</x:f>
      </x:c>
      <x:c r="H84" s="60"/>
      <x:c r="I84" s="38"/>
      <x:c r="J84" s="38"/>
      <x:c r="K84" s="38" t="str">
        <x:f>IFERROR(XLOOKUP(J84,Venues!$A$5:$A$24,Venues!$B$5:$B$24,""),"")</x:f>
      </x:c>
      <x:c r="L84" s="38"/>
      <x:c r="M84" s="38" t="str">
        <x:f>IF(A84="","",TEXT(H84,"yyyy-mm-dd")&amp;" | "&amp;A84&amp;" | "&amp;E84&amp;" v "&amp;G84&amp;" | "&amp;K84)</x:f>
      </x:c>
      <x:c r="N84" s="38" t="str">
        <x:f>IF(A84="","",IF(AND(L84="Scheduled",D84&lt;&gt;"TBD",F84&lt;&gt;"TBD",E84&lt;&gt;"",G84&lt;&gt;"",D84&lt;&gt;F84,J84&lt;&gt;"",K84&lt;&gt;""),"Yes","No"))</x:f>
      </x:c>
      <x:c r="O84" s="38" t="str">
        <x:f>IF(A84="","",IF(COUNTIF($A$5:$A$204,A84)&gt;1,"Duplicate Match ID",IF(OR(D84="",F84="",J84=""),"Missing fixture field",IF(OR(D84="TBD",F84="TBD",E84="",G84=""),"Unresolved placeholder fixture",IF(D84=F84,"Home and away same",IF(K84="","Missing venue display","OK"))))))</x:f>
      </x:c>
    </x:row>
    <x:row r="85" ht="15" hidden="0" customHeight="1">
      <x:c r="A85" s="38"/>
      <x:c r="B85" s="38"/>
      <x:c r="C85" s="38"/>
      <x:c r="D85" s="38"/>
      <x:c r="E85" s="38" t="str">
        <x:f>IFERROR(XLOOKUP(D85,Teams!$A$5:$A$36,Teams!$C$5:$C$36,""),D85)</x:f>
      </x:c>
      <x:c r="F85" s="38"/>
      <x:c r="G85" s="38" t="str">
        <x:f>IFERROR(XLOOKUP(F85,Teams!$A$5:$A$36,Teams!$C$5:$C$36,""),F85)</x:f>
      </x:c>
      <x:c r="H85" s="60"/>
      <x:c r="I85" s="38"/>
      <x:c r="J85" s="38"/>
      <x:c r="K85" s="38" t="str">
        <x:f>IFERROR(XLOOKUP(J85,Venues!$A$5:$A$24,Venues!$B$5:$B$24,""),"")</x:f>
      </x:c>
      <x:c r="L85" s="38"/>
      <x:c r="M85" s="38" t="str">
        <x:f>IF(A85="","",TEXT(H85,"yyyy-mm-dd")&amp;" | "&amp;A85&amp;" | "&amp;E85&amp;" v "&amp;G85&amp;" | "&amp;K85)</x:f>
      </x:c>
      <x:c r="N85" s="38" t="str">
        <x:f>IF(A85="","",IF(AND(L85="Scheduled",D85&lt;&gt;"TBD",F85&lt;&gt;"TBD",E85&lt;&gt;"",G85&lt;&gt;"",D85&lt;&gt;F85,J85&lt;&gt;"",K85&lt;&gt;""),"Yes","No"))</x:f>
      </x:c>
      <x:c r="O85" s="38" t="str">
        <x:f>IF(A85="","",IF(COUNTIF($A$5:$A$204,A85)&gt;1,"Duplicate Match ID",IF(OR(D85="",F85="",J85=""),"Missing fixture field",IF(OR(D85="TBD",F85="TBD",E85="",G85=""),"Unresolved placeholder fixture",IF(D85=F85,"Home and away same",IF(K85="","Missing venue display","OK"))))))</x:f>
      </x:c>
    </x:row>
    <x:row r="86" ht="15" hidden="0" customHeight="1">
      <x:c r="A86" s="38"/>
      <x:c r="B86" s="38"/>
      <x:c r="C86" s="38"/>
      <x:c r="D86" s="38"/>
      <x:c r="E86" s="38" t="str">
        <x:f>IFERROR(XLOOKUP(D86,Teams!$A$5:$A$36,Teams!$C$5:$C$36,""),D86)</x:f>
      </x:c>
      <x:c r="F86" s="38"/>
      <x:c r="G86" s="38" t="str">
        <x:f>IFERROR(XLOOKUP(F86,Teams!$A$5:$A$36,Teams!$C$5:$C$36,""),F86)</x:f>
      </x:c>
      <x:c r="H86" s="60"/>
      <x:c r="I86" s="38"/>
      <x:c r="J86" s="38"/>
      <x:c r="K86" s="38" t="str">
        <x:f>IFERROR(XLOOKUP(J86,Venues!$A$5:$A$24,Venues!$B$5:$B$24,""),"")</x:f>
      </x:c>
      <x:c r="L86" s="38"/>
      <x:c r="M86" s="38" t="str">
        <x:f>IF(A86="","",TEXT(H86,"yyyy-mm-dd")&amp;" | "&amp;A86&amp;" | "&amp;E86&amp;" v "&amp;G86&amp;" | "&amp;K86)</x:f>
      </x:c>
      <x:c r="N86" s="38" t="str">
        <x:f>IF(A86="","",IF(AND(L86="Scheduled",D86&lt;&gt;"TBD",F86&lt;&gt;"TBD",E86&lt;&gt;"",G86&lt;&gt;"",D86&lt;&gt;F86,J86&lt;&gt;"",K86&lt;&gt;""),"Yes","No"))</x:f>
      </x:c>
      <x:c r="O86" s="38" t="str">
        <x:f>IF(A86="","",IF(COUNTIF($A$5:$A$204,A86)&gt;1,"Duplicate Match ID",IF(OR(D86="",F86="",J86=""),"Missing fixture field",IF(OR(D86="TBD",F86="TBD",E86="",G86=""),"Unresolved placeholder fixture",IF(D86=F86,"Home and away same",IF(K86="","Missing venue display","OK"))))))</x:f>
      </x:c>
    </x:row>
    <x:row r="87" ht="15" hidden="0" customHeight="1">
      <x:c r="A87" s="38"/>
      <x:c r="B87" s="38"/>
      <x:c r="C87" s="38"/>
      <x:c r="D87" s="38"/>
      <x:c r="E87" s="38" t="str">
        <x:f>IFERROR(XLOOKUP(D87,Teams!$A$5:$A$36,Teams!$C$5:$C$36,""),D87)</x:f>
      </x:c>
      <x:c r="F87" s="38"/>
      <x:c r="G87" s="38" t="str">
        <x:f>IFERROR(XLOOKUP(F87,Teams!$A$5:$A$36,Teams!$C$5:$C$36,""),F87)</x:f>
      </x:c>
      <x:c r="H87" s="60"/>
      <x:c r="I87" s="38"/>
      <x:c r="J87" s="38"/>
      <x:c r="K87" s="38" t="str">
        <x:f>IFERROR(XLOOKUP(J87,Venues!$A$5:$A$24,Venues!$B$5:$B$24,""),"")</x:f>
      </x:c>
      <x:c r="L87" s="38"/>
      <x:c r="M87" s="38" t="str">
        <x:f>IF(A87="","",TEXT(H87,"yyyy-mm-dd")&amp;" | "&amp;A87&amp;" | "&amp;E87&amp;" v "&amp;G87&amp;" | "&amp;K87)</x:f>
      </x:c>
      <x:c r="N87" s="38" t="str">
        <x:f>IF(A87="","",IF(AND(L87="Scheduled",D87&lt;&gt;"TBD",F87&lt;&gt;"TBD",E87&lt;&gt;"",G87&lt;&gt;"",D87&lt;&gt;F87,J87&lt;&gt;"",K87&lt;&gt;""),"Yes","No"))</x:f>
      </x:c>
      <x:c r="O87" s="38" t="str">
        <x:f>IF(A87="","",IF(COUNTIF($A$5:$A$204,A87)&gt;1,"Duplicate Match ID",IF(OR(D87="",F87="",J87=""),"Missing fixture field",IF(OR(D87="TBD",F87="TBD",E87="",G87=""),"Unresolved placeholder fixture",IF(D87=F87,"Home and away same",IF(K87="","Missing venue display","OK"))))))</x:f>
      </x:c>
    </x:row>
    <x:row r="88" ht="15" hidden="0" customHeight="1">
      <x:c r="A88" s="38"/>
      <x:c r="B88" s="38"/>
      <x:c r="C88" s="38"/>
      <x:c r="D88" s="38"/>
      <x:c r="E88" s="38" t="str">
        <x:f>IFERROR(XLOOKUP(D88,Teams!$A$5:$A$36,Teams!$C$5:$C$36,""),D88)</x:f>
      </x:c>
      <x:c r="F88" s="38"/>
      <x:c r="G88" s="38" t="str">
        <x:f>IFERROR(XLOOKUP(F88,Teams!$A$5:$A$36,Teams!$C$5:$C$36,""),F88)</x:f>
      </x:c>
      <x:c r="H88" s="60"/>
      <x:c r="I88" s="38"/>
      <x:c r="J88" s="38"/>
      <x:c r="K88" s="38" t="str">
        <x:f>IFERROR(XLOOKUP(J88,Venues!$A$5:$A$24,Venues!$B$5:$B$24,""),"")</x:f>
      </x:c>
      <x:c r="L88" s="38"/>
      <x:c r="M88" s="38" t="str">
        <x:f>IF(A88="","",TEXT(H88,"yyyy-mm-dd")&amp;" | "&amp;A88&amp;" | "&amp;E88&amp;" v "&amp;G88&amp;" | "&amp;K88)</x:f>
      </x:c>
      <x:c r="N88" s="38" t="str">
        <x:f>IF(A88="","",IF(AND(L88="Scheduled",D88&lt;&gt;"TBD",F88&lt;&gt;"TBD",E88&lt;&gt;"",G88&lt;&gt;"",D88&lt;&gt;F88,J88&lt;&gt;"",K88&lt;&gt;""),"Yes","No"))</x:f>
      </x:c>
      <x:c r="O88" s="38" t="str">
        <x:f>IF(A88="","",IF(COUNTIF($A$5:$A$204,A88)&gt;1,"Duplicate Match ID",IF(OR(D88="",F88="",J88=""),"Missing fixture field",IF(OR(D88="TBD",F88="TBD",E88="",G88=""),"Unresolved placeholder fixture",IF(D88=F88,"Home and away same",IF(K88="","Missing venue display","OK"))))))</x:f>
      </x:c>
    </x:row>
    <x:row r="89" ht="15" hidden="0" customHeight="1">
      <x:c r="A89" s="38"/>
      <x:c r="B89" s="38"/>
      <x:c r="C89" s="38"/>
      <x:c r="D89" s="38"/>
      <x:c r="E89" s="38" t="str">
        <x:f>IFERROR(XLOOKUP(D89,Teams!$A$5:$A$36,Teams!$C$5:$C$36,""),D89)</x:f>
      </x:c>
      <x:c r="F89" s="38"/>
      <x:c r="G89" s="38" t="str">
        <x:f>IFERROR(XLOOKUP(F89,Teams!$A$5:$A$36,Teams!$C$5:$C$36,""),F89)</x:f>
      </x:c>
      <x:c r="H89" s="60"/>
      <x:c r="I89" s="38"/>
      <x:c r="J89" s="38"/>
      <x:c r="K89" s="38" t="str">
        <x:f>IFERROR(XLOOKUP(J89,Venues!$A$5:$A$24,Venues!$B$5:$B$24,""),"")</x:f>
      </x:c>
      <x:c r="L89" s="38"/>
      <x:c r="M89" s="38" t="str">
        <x:f>IF(A89="","",TEXT(H89,"yyyy-mm-dd")&amp;" | "&amp;A89&amp;" | "&amp;E89&amp;" v "&amp;G89&amp;" | "&amp;K89)</x:f>
      </x:c>
      <x:c r="N89" s="38" t="str">
        <x:f>IF(A89="","",IF(AND(L89="Scheduled",D89&lt;&gt;"TBD",F89&lt;&gt;"TBD",E89&lt;&gt;"",G89&lt;&gt;"",D89&lt;&gt;F89,J89&lt;&gt;"",K89&lt;&gt;""),"Yes","No"))</x:f>
      </x:c>
      <x:c r="O89" s="38" t="str">
        <x:f>IF(A89="","",IF(COUNTIF($A$5:$A$204,A89)&gt;1,"Duplicate Match ID",IF(OR(D89="",F89="",J89=""),"Missing fixture field",IF(OR(D89="TBD",F89="TBD",E89="",G89=""),"Unresolved placeholder fixture",IF(D89=F89,"Home and away same",IF(K89="","Missing venue display","OK"))))))</x:f>
      </x:c>
    </x:row>
    <x:row r="90" ht="15" hidden="0" customHeight="1">
      <x:c r="A90" s="38"/>
      <x:c r="B90" s="38"/>
      <x:c r="C90" s="38"/>
      <x:c r="D90" s="38"/>
      <x:c r="E90" s="38" t="str">
        <x:f>IFERROR(XLOOKUP(D90,Teams!$A$5:$A$36,Teams!$C$5:$C$36,""),D90)</x:f>
      </x:c>
      <x:c r="F90" s="38"/>
      <x:c r="G90" s="38" t="str">
        <x:f>IFERROR(XLOOKUP(F90,Teams!$A$5:$A$36,Teams!$C$5:$C$36,""),F90)</x:f>
      </x:c>
      <x:c r="H90" s="60"/>
      <x:c r="I90" s="38"/>
      <x:c r="J90" s="38"/>
      <x:c r="K90" s="38" t="str">
        <x:f>IFERROR(XLOOKUP(J90,Venues!$A$5:$A$24,Venues!$B$5:$B$24,""),"")</x:f>
      </x:c>
      <x:c r="L90" s="38"/>
      <x:c r="M90" s="38" t="str">
        <x:f>IF(A90="","",TEXT(H90,"yyyy-mm-dd")&amp;" | "&amp;A90&amp;" | "&amp;E90&amp;" v "&amp;G90&amp;" | "&amp;K90)</x:f>
      </x:c>
      <x:c r="N90" s="38" t="str">
        <x:f>IF(A90="","",IF(AND(L90="Scheduled",D90&lt;&gt;"TBD",F90&lt;&gt;"TBD",E90&lt;&gt;"",G90&lt;&gt;"",D90&lt;&gt;F90,J90&lt;&gt;"",K90&lt;&gt;""),"Yes","No"))</x:f>
      </x:c>
      <x:c r="O90" s="38" t="str">
        <x:f>IF(A90="","",IF(COUNTIF($A$5:$A$204,A90)&gt;1,"Duplicate Match ID",IF(OR(D90="",F90="",J90=""),"Missing fixture field",IF(OR(D90="TBD",F90="TBD",E90="",G90=""),"Unresolved placeholder fixture",IF(D90=F90,"Home and away same",IF(K90="","Missing venue display","OK"))))))</x:f>
      </x:c>
    </x:row>
    <x:row r="91" ht="15" hidden="0" customHeight="1">
      <x:c r="A91" s="38"/>
      <x:c r="B91" s="38"/>
      <x:c r="C91" s="38"/>
      <x:c r="D91" s="38"/>
      <x:c r="E91" s="38" t="str">
        <x:f>IFERROR(XLOOKUP(D91,Teams!$A$5:$A$36,Teams!$C$5:$C$36,""),D91)</x:f>
      </x:c>
      <x:c r="F91" s="38"/>
      <x:c r="G91" s="38" t="str">
        <x:f>IFERROR(XLOOKUP(F91,Teams!$A$5:$A$36,Teams!$C$5:$C$36,""),F91)</x:f>
      </x:c>
      <x:c r="H91" s="60"/>
      <x:c r="I91" s="38"/>
      <x:c r="J91" s="38"/>
      <x:c r="K91" s="38" t="str">
        <x:f>IFERROR(XLOOKUP(J91,Venues!$A$5:$A$24,Venues!$B$5:$B$24,""),"")</x:f>
      </x:c>
      <x:c r="L91" s="38"/>
      <x:c r="M91" s="38" t="str">
        <x:f>IF(A91="","",TEXT(H91,"yyyy-mm-dd")&amp;" | "&amp;A91&amp;" | "&amp;E91&amp;" v "&amp;G91&amp;" | "&amp;K91)</x:f>
      </x:c>
      <x:c r="N91" s="38" t="str">
        <x:f>IF(A91="","",IF(AND(L91="Scheduled",D91&lt;&gt;"TBD",F91&lt;&gt;"TBD",E91&lt;&gt;"",G91&lt;&gt;"",D91&lt;&gt;F91,J91&lt;&gt;"",K91&lt;&gt;""),"Yes","No"))</x:f>
      </x:c>
      <x:c r="O91" s="38" t="str">
        <x:f>IF(A91="","",IF(COUNTIF($A$5:$A$204,A91)&gt;1,"Duplicate Match ID",IF(OR(D91="",F91="",J91=""),"Missing fixture field",IF(OR(D91="TBD",F91="TBD",E91="",G91=""),"Unresolved placeholder fixture",IF(D91=F91,"Home and away same",IF(K91="","Missing venue display","OK"))))))</x:f>
      </x:c>
    </x:row>
    <x:row r="92" ht="15" hidden="0" customHeight="1">
      <x:c r="A92" s="38"/>
      <x:c r="B92" s="38"/>
      <x:c r="C92" s="38"/>
      <x:c r="D92" s="38"/>
      <x:c r="E92" s="38" t="str">
        <x:f>IFERROR(XLOOKUP(D92,Teams!$A$5:$A$36,Teams!$C$5:$C$36,""),D92)</x:f>
      </x:c>
      <x:c r="F92" s="38"/>
      <x:c r="G92" s="38" t="str">
        <x:f>IFERROR(XLOOKUP(F92,Teams!$A$5:$A$36,Teams!$C$5:$C$36,""),F92)</x:f>
      </x:c>
      <x:c r="H92" s="60"/>
      <x:c r="I92" s="38"/>
      <x:c r="J92" s="38"/>
      <x:c r="K92" s="38" t="str">
        <x:f>IFERROR(XLOOKUP(J92,Venues!$A$5:$A$24,Venues!$B$5:$B$24,""),"")</x:f>
      </x:c>
      <x:c r="L92" s="38"/>
      <x:c r="M92" s="38" t="str">
        <x:f>IF(A92="","",TEXT(H92,"yyyy-mm-dd")&amp;" | "&amp;A92&amp;" | "&amp;E92&amp;" v "&amp;G92&amp;" | "&amp;K92)</x:f>
      </x:c>
      <x:c r="N92" s="38" t="str">
        <x:f>IF(A92="","",IF(AND(L92="Scheduled",D92&lt;&gt;"TBD",F92&lt;&gt;"TBD",E92&lt;&gt;"",G92&lt;&gt;"",D92&lt;&gt;F92,J92&lt;&gt;"",K92&lt;&gt;""),"Yes","No"))</x:f>
      </x:c>
      <x:c r="O92" s="38" t="str">
        <x:f>IF(A92="","",IF(COUNTIF($A$5:$A$204,A92)&gt;1,"Duplicate Match ID",IF(OR(D92="",F92="",J92=""),"Missing fixture field",IF(OR(D92="TBD",F92="TBD",E92="",G92=""),"Unresolved placeholder fixture",IF(D92=F92,"Home and away same",IF(K92="","Missing venue display","OK"))))))</x:f>
      </x:c>
    </x:row>
    <x:row r="93" ht="15" hidden="0" customHeight="1">
      <x:c r="A93" s="38"/>
      <x:c r="B93" s="38"/>
      <x:c r="C93" s="38"/>
      <x:c r="D93" s="38"/>
      <x:c r="E93" s="38" t="str">
        <x:f>IFERROR(XLOOKUP(D93,Teams!$A$5:$A$36,Teams!$C$5:$C$36,""),D93)</x:f>
      </x:c>
      <x:c r="F93" s="38"/>
      <x:c r="G93" s="38" t="str">
        <x:f>IFERROR(XLOOKUP(F93,Teams!$A$5:$A$36,Teams!$C$5:$C$36,""),F93)</x:f>
      </x:c>
      <x:c r="H93" s="60"/>
      <x:c r="I93" s="38"/>
      <x:c r="J93" s="38"/>
      <x:c r="K93" s="38" t="str">
        <x:f>IFERROR(XLOOKUP(J93,Venues!$A$5:$A$24,Venues!$B$5:$B$24,""),"")</x:f>
      </x:c>
      <x:c r="L93" s="38"/>
      <x:c r="M93" s="38" t="str">
        <x:f>IF(A93="","",TEXT(H93,"yyyy-mm-dd")&amp;" | "&amp;A93&amp;" | "&amp;E93&amp;" v "&amp;G93&amp;" | "&amp;K93)</x:f>
      </x:c>
      <x:c r="N93" s="38" t="str">
        <x:f>IF(A93="","",IF(AND(L93="Scheduled",D93&lt;&gt;"TBD",F93&lt;&gt;"TBD",E93&lt;&gt;"",G93&lt;&gt;"",D93&lt;&gt;F93,J93&lt;&gt;"",K93&lt;&gt;""),"Yes","No"))</x:f>
      </x:c>
      <x:c r="O93" s="38" t="str">
        <x:f>IF(A93="","",IF(COUNTIF($A$5:$A$204,A93)&gt;1,"Duplicate Match ID",IF(OR(D93="",F93="",J93=""),"Missing fixture field",IF(OR(D93="TBD",F93="TBD",E93="",G93=""),"Unresolved placeholder fixture",IF(D93=F93,"Home and away same",IF(K93="","Missing venue display","OK"))))))</x:f>
      </x:c>
    </x:row>
    <x:row r="94" ht="15" hidden="0" customHeight="1">
      <x:c r="A94" s="38"/>
      <x:c r="B94" s="38"/>
      <x:c r="C94" s="38"/>
      <x:c r="D94" s="38"/>
      <x:c r="E94" s="38" t="str">
        <x:f>IFERROR(XLOOKUP(D94,Teams!$A$5:$A$36,Teams!$C$5:$C$36,""),D94)</x:f>
      </x:c>
      <x:c r="F94" s="38"/>
      <x:c r="G94" s="38" t="str">
        <x:f>IFERROR(XLOOKUP(F94,Teams!$A$5:$A$36,Teams!$C$5:$C$36,""),F94)</x:f>
      </x:c>
      <x:c r="H94" s="60"/>
      <x:c r="I94" s="38"/>
      <x:c r="J94" s="38"/>
      <x:c r="K94" s="38" t="str">
        <x:f>IFERROR(XLOOKUP(J94,Venues!$A$5:$A$24,Venues!$B$5:$B$24,""),"")</x:f>
      </x:c>
      <x:c r="L94" s="38"/>
      <x:c r="M94" s="38" t="str">
        <x:f>IF(A94="","",TEXT(H94,"yyyy-mm-dd")&amp;" | "&amp;A94&amp;" | "&amp;E94&amp;" v "&amp;G94&amp;" | "&amp;K94)</x:f>
      </x:c>
      <x:c r="N94" s="38" t="str">
        <x:f>IF(A94="","",IF(AND(L94="Scheduled",D94&lt;&gt;"TBD",F94&lt;&gt;"TBD",E94&lt;&gt;"",G94&lt;&gt;"",D94&lt;&gt;F94,J94&lt;&gt;"",K94&lt;&gt;""),"Yes","No"))</x:f>
      </x:c>
      <x:c r="O94" s="38" t="str">
        <x:f>IF(A94="","",IF(COUNTIF($A$5:$A$204,A94)&gt;1,"Duplicate Match ID",IF(OR(D94="",F94="",J94=""),"Missing fixture field",IF(OR(D94="TBD",F94="TBD",E94="",G94=""),"Unresolved placeholder fixture",IF(D94=F94,"Home and away same",IF(K94="","Missing venue display","OK"))))))</x:f>
      </x:c>
    </x:row>
    <x:row r="95" ht="15" hidden="0" customHeight="1">
      <x:c r="A95" s="38"/>
      <x:c r="B95" s="38"/>
      <x:c r="C95" s="38"/>
      <x:c r="D95" s="38"/>
      <x:c r="E95" s="38" t="str">
        <x:f>IFERROR(XLOOKUP(D95,Teams!$A$5:$A$36,Teams!$C$5:$C$36,""),D95)</x:f>
      </x:c>
      <x:c r="F95" s="38"/>
      <x:c r="G95" s="38" t="str">
        <x:f>IFERROR(XLOOKUP(F95,Teams!$A$5:$A$36,Teams!$C$5:$C$36,""),F95)</x:f>
      </x:c>
      <x:c r="H95" s="60"/>
      <x:c r="I95" s="38"/>
      <x:c r="J95" s="38"/>
      <x:c r="K95" s="38" t="str">
        <x:f>IFERROR(XLOOKUP(J95,Venues!$A$5:$A$24,Venues!$B$5:$B$24,""),"")</x:f>
      </x:c>
      <x:c r="L95" s="38"/>
      <x:c r="M95" s="38" t="str">
        <x:f>IF(A95="","",TEXT(H95,"yyyy-mm-dd")&amp;" | "&amp;A95&amp;" | "&amp;E95&amp;" v "&amp;G95&amp;" | "&amp;K95)</x:f>
      </x:c>
      <x:c r="N95" s="38" t="str">
        <x:f>IF(A95="","",IF(AND(L95="Scheduled",D95&lt;&gt;"TBD",F95&lt;&gt;"TBD",E95&lt;&gt;"",G95&lt;&gt;"",D95&lt;&gt;F95,J95&lt;&gt;"",K95&lt;&gt;""),"Yes","No"))</x:f>
      </x:c>
      <x:c r="O95" s="38" t="str">
        <x:f>IF(A95="","",IF(COUNTIF($A$5:$A$204,A95)&gt;1,"Duplicate Match ID",IF(OR(D95="",F95="",J95=""),"Missing fixture field",IF(OR(D95="TBD",F95="TBD",E95="",G95=""),"Unresolved placeholder fixture",IF(D95=F95,"Home and away same",IF(K95="","Missing venue display","OK"))))))</x:f>
      </x:c>
    </x:row>
    <x:row r="96" ht="15" hidden="0" customHeight="1">
      <x:c r="A96" s="38"/>
      <x:c r="B96" s="38"/>
      <x:c r="C96" s="38"/>
      <x:c r="D96" s="38"/>
      <x:c r="E96" s="38" t="str">
        <x:f>IFERROR(XLOOKUP(D96,Teams!$A$5:$A$36,Teams!$C$5:$C$36,""),D96)</x:f>
      </x:c>
      <x:c r="F96" s="38"/>
      <x:c r="G96" s="38" t="str">
        <x:f>IFERROR(XLOOKUP(F96,Teams!$A$5:$A$36,Teams!$C$5:$C$36,""),F96)</x:f>
      </x:c>
      <x:c r="H96" s="60"/>
      <x:c r="I96" s="38"/>
      <x:c r="J96" s="38"/>
      <x:c r="K96" s="38" t="str">
        <x:f>IFERROR(XLOOKUP(J96,Venues!$A$5:$A$24,Venues!$B$5:$B$24,""),"")</x:f>
      </x:c>
      <x:c r="L96" s="38"/>
      <x:c r="M96" s="38" t="str">
        <x:f>IF(A96="","",TEXT(H96,"yyyy-mm-dd")&amp;" | "&amp;A96&amp;" | "&amp;E96&amp;" v "&amp;G96&amp;" | "&amp;K96)</x:f>
      </x:c>
      <x:c r="N96" s="38" t="str">
        <x:f>IF(A96="","",IF(AND(L96="Scheduled",D96&lt;&gt;"TBD",F96&lt;&gt;"TBD",E96&lt;&gt;"",G96&lt;&gt;"",D96&lt;&gt;F96,J96&lt;&gt;"",K96&lt;&gt;""),"Yes","No"))</x:f>
      </x:c>
      <x:c r="O96" s="38" t="str">
        <x:f>IF(A96="","",IF(COUNTIF($A$5:$A$204,A96)&gt;1,"Duplicate Match ID",IF(OR(D96="",F96="",J96=""),"Missing fixture field",IF(OR(D96="TBD",F96="TBD",E96="",G96=""),"Unresolved placeholder fixture",IF(D96=F96,"Home and away same",IF(K96="","Missing venue display","OK"))))))</x:f>
      </x:c>
    </x:row>
    <x:row r="97" ht="15" hidden="0" customHeight="1">
      <x:c r="A97" s="38"/>
      <x:c r="B97" s="38"/>
      <x:c r="C97" s="38"/>
      <x:c r="D97" s="38"/>
      <x:c r="E97" s="38" t="str">
        <x:f>IFERROR(XLOOKUP(D97,Teams!$A$5:$A$36,Teams!$C$5:$C$36,""),D97)</x:f>
      </x:c>
      <x:c r="F97" s="38"/>
      <x:c r="G97" s="38" t="str">
        <x:f>IFERROR(XLOOKUP(F97,Teams!$A$5:$A$36,Teams!$C$5:$C$36,""),F97)</x:f>
      </x:c>
      <x:c r="H97" s="60"/>
      <x:c r="I97" s="38"/>
      <x:c r="J97" s="38"/>
      <x:c r="K97" s="38" t="str">
        <x:f>IFERROR(XLOOKUP(J97,Venues!$A$5:$A$24,Venues!$B$5:$B$24,""),"")</x:f>
      </x:c>
      <x:c r="L97" s="38"/>
      <x:c r="M97" s="38" t="str">
        <x:f>IF(A97="","",TEXT(H97,"yyyy-mm-dd")&amp;" | "&amp;A97&amp;" | "&amp;E97&amp;" v "&amp;G97&amp;" | "&amp;K97)</x:f>
      </x:c>
      <x:c r="N97" s="38" t="str">
        <x:f>IF(A97="","",IF(AND(L97="Scheduled",D97&lt;&gt;"TBD",F97&lt;&gt;"TBD",E97&lt;&gt;"",G97&lt;&gt;"",D97&lt;&gt;F97,J97&lt;&gt;"",K97&lt;&gt;""),"Yes","No"))</x:f>
      </x:c>
      <x:c r="O97" s="38" t="str">
        <x:f>IF(A97="","",IF(COUNTIF($A$5:$A$204,A97)&gt;1,"Duplicate Match ID",IF(OR(D97="",F97="",J97=""),"Missing fixture field",IF(OR(D97="TBD",F97="TBD",E97="",G97=""),"Unresolved placeholder fixture",IF(D97=F97,"Home and away same",IF(K97="","Missing venue display","OK"))))))</x:f>
      </x:c>
    </x:row>
    <x:row r="98" ht="15" hidden="0" customHeight="1">
      <x:c r="A98" s="38"/>
      <x:c r="B98" s="38"/>
      <x:c r="C98" s="38"/>
      <x:c r="D98" s="38"/>
      <x:c r="E98" s="38" t="str">
        <x:f>IFERROR(XLOOKUP(D98,Teams!$A$5:$A$36,Teams!$C$5:$C$36,""),D98)</x:f>
      </x:c>
      <x:c r="F98" s="38"/>
      <x:c r="G98" s="38" t="str">
        <x:f>IFERROR(XLOOKUP(F98,Teams!$A$5:$A$36,Teams!$C$5:$C$36,""),F98)</x:f>
      </x:c>
      <x:c r="H98" s="60"/>
      <x:c r="I98" s="38"/>
      <x:c r="J98" s="38"/>
      <x:c r="K98" s="38" t="str">
        <x:f>IFERROR(XLOOKUP(J98,Venues!$A$5:$A$24,Venues!$B$5:$B$24,""),"")</x:f>
      </x:c>
      <x:c r="L98" s="38"/>
      <x:c r="M98" s="38" t="str">
        <x:f>IF(A98="","",TEXT(H98,"yyyy-mm-dd")&amp;" | "&amp;A98&amp;" | "&amp;E98&amp;" v "&amp;G98&amp;" | "&amp;K98)</x:f>
      </x:c>
      <x:c r="N98" s="38" t="str">
        <x:f>IF(A98="","",IF(AND(L98="Scheduled",D98&lt;&gt;"TBD",F98&lt;&gt;"TBD",E98&lt;&gt;"",G98&lt;&gt;"",D98&lt;&gt;F98,J98&lt;&gt;"",K98&lt;&gt;""),"Yes","No"))</x:f>
      </x:c>
      <x:c r="O98" s="38" t="str">
        <x:f>IF(A98="","",IF(COUNTIF($A$5:$A$204,A98)&gt;1,"Duplicate Match ID",IF(OR(D98="",F98="",J98=""),"Missing fixture field",IF(OR(D98="TBD",F98="TBD",E98="",G98=""),"Unresolved placeholder fixture",IF(D98=F98,"Home and away same",IF(K98="","Missing venue display","OK"))))))</x:f>
      </x:c>
    </x:row>
    <x:row r="99" ht="15" hidden="0" customHeight="1">
      <x:c r="A99" s="38"/>
      <x:c r="B99" s="38"/>
      <x:c r="C99" s="38"/>
      <x:c r="D99" s="38"/>
      <x:c r="E99" s="38" t="str">
        <x:f>IFERROR(XLOOKUP(D99,Teams!$A$5:$A$36,Teams!$C$5:$C$36,""),D99)</x:f>
      </x:c>
      <x:c r="F99" s="38"/>
      <x:c r="G99" s="38" t="str">
        <x:f>IFERROR(XLOOKUP(F99,Teams!$A$5:$A$36,Teams!$C$5:$C$36,""),F99)</x:f>
      </x:c>
      <x:c r="H99" s="60"/>
      <x:c r="I99" s="38"/>
      <x:c r="J99" s="38"/>
      <x:c r="K99" s="38" t="str">
        <x:f>IFERROR(XLOOKUP(J99,Venues!$A$5:$A$24,Venues!$B$5:$B$24,""),"")</x:f>
      </x:c>
      <x:c r="L99" s="38"/>
      <x:c r="M99" s="38" t="str">
        <x:f>IF(A99="","",TEXT(H99,"yyyy-mm-dd")&amp;" | "&amp;A99&amp;" | "&amp;E99&amp;" v "&amp;G99&amp;" | "&amp;K99)</x:f>
      </x:c>
      <x:c r="N99" s="38" t="str">
        <x:f>IF(A99="","",IF(AND(L99="Scheduled",D99&lt;&gt;"TBD",F99&lt;&gt;"TBD",E99&lt;&gt;"",G99&lt;&gt;"",D99&lt;&gt;F99,J99&lt;&gt;"",K99&lt;&gt;""),"Yes","No"))</x:f>
      </x:c>
      <x:c r="O99" s="38" t="str">
        <x:f>IF(A99="","",IF(COUNTIF($A$5:$A$204,A99)&gt;1,"Duplicate Match ID",IF(OR(D99="",F99="",J99=""),"Missing fixture field",IF(OR(D99="TBD",F99="TBD",E99="",G99=""),"Unresolved placeholder fixture",IF(D99=F99,"Home and away same",IF(K99="","Missing venue display","OK"))))))</x:f>
      </x:c>
    </x:row>
    <x:row r="100" ht="15" hidden="0" customHeight="1">
      <x:c r="A100" s="38"/>
      <x:c r="B100" s="38"/>
      <x:c r="C100" s="38"/>
      <x:c r="D100" s="38"/>
      <x:c r="E100" s="38" t="str">
        <x:f>IFERROR(XLOOKUP(D100,Teams!$A$5:$A$36,Teams!$C$5:$C$36,""),D100)</x:f>
      </x:c>
      <x:c r="F100" s="38"/>
      <x:c r="G100" s="38" t="str">
        <x:f>IFERROR(XLOOKUP(F100,Teams!$A$5:$A$36,Teams!$C$5:$C$36,""),F100)</x:f>
      </x:c>
      <x:c r="H100" s="60"/>
      <x:c r="I100" s="38"/>
      <x:c r="J100" s="38"/>
      <x:c r="K100" s="38" t="str">
        <x:f>IFERROR(XLOOKUP(J100,Venues!$A$5:$A$24,Venues!$B$5:$B$24,""),"")</x:f>
      </x:c>
      <x:c r="L100" s="38"/>
      <x:c r="M100" s="38" t="str">
        <x:f>IF(A100="","",TEXT(H100,"yyyy-mm-dd")&amp;" | "&amp;A100&amp;" | "&amp;E100&amp;" v "&amp;G100&amp;" | "&amp;K100)</x:f>
      </x:c>
      <x:c r="N100" s="38" t="str">
        <x:f>IF(A100="","",IF(AND(L100="Scheduled",D100&lt;&gt;"TBD",F100&lt;&gt;"TBD",E100&lt;&gt;"",G100&lt;&gt;"",D100&lt;&gt;F100,J100&lt;&gt;"",K100&lt;&gt;""),"Yes","No"))</x:f>
      </x:c>
      <x:c r="O100" s="38" t="str">
        <x:f>IF(A100="","",IF(COUNTIF($A$5:$A$204,A100)&gt;1,"Duplicate Match ID",IF(OR(D100="",F100="",J100=""),"Missing fixture field",IF(OR(D100="TBD",F100="TBD",E100="",G100=""),"Unresolved placeholder fixture",IF(D100=F100,"Home and away same",IF(K100="","Missing venue display","OK"))))))</x:f>
      </x:c>
    </x:row>
    <x:row r="101" ht="15" hidden="0" customHeight="1">
      <x:c r="A101" s="38"/>
      <x:c r="B101" s="38"/>
      <x:c r="C101" s="38"/>
      <x:c r="D101" s="38"/>
      <x:c r="E101" s="38" t="str">
        <x:f>IFERROR(XLOOKUP(D101,Teams!$A$5:$A$36,Teams!$C$5:$C$36,""),D101)</x:f>
      </x:c>
      <x:c r="F101" s="38"/>
      <x:c r="G101" s="38" t="str">
        <x:f>IFERROR(XLOOKUP(F101,Teams!$A$5:$A$36,Teams!$C$5:$C$36,""),F101)</x:f>
      </x:c>
      <x:c r="H101" s="60"/>
      <x:c r="I101" s="38"/>
      <x:c r="J101" s="38"/>
      <x:c r="K101" s="38" t="str">
        <x:f>IFERROR(XLOOKUP(J101,Venues!$A$5:$A$24,Venues!$B$5:$B$24,""),"")</x:f>
      </x:c>
      <x:c r="L101" s="38"/>
      <x:c r="M101" s="38" t="str">
        <x:f>IF(A101="","",TEXT(H101,"yyyy-mm-dd")&amp;" | "&amp;A101&amp;" | "&amp;E101&amp;" v "&amp;G101&amp;" | "&amp;K101)</x:f>
      </x:c>
      <x:c r="N101" s="38" t="str">
        <x:f>IF(A101="","",IF(AND(L101="Scheduled",D101&lt;&gt;"TBD",F101&lt;&gt;"TBD",E101&lt;&gt;"",G101&lt;&gt;"",D101&lt;&gt;F101,J101&lt;&gt;"",K101&lt;&gt;""),"Yes","No"))</x:f>
      </x:c>
      <x:c r="O101" s="38" t="str">
        <x:f>IF(A101="","",IF(COUNTIF($A$5:$A$204,A101)&gt;1,"Duplicate Match ID",IF(OR(D101="",F101="",J101=""),"Missing fixture field",IF(OR(D101="TBD",F101="TBD",E101="",G101=""),"Unresolved placeholder fixture",IF(D101=F101,"Home and away same",IF(K101="","Missing venue display","OK"))))))</x:f>
      </x:c>
    </x:row>
    <x:row r="102" ht="15" hidden="0" customHeight="1">
      <x:c r="A102" s="38"/>
      <x:c r="B102" s="38"/>
      <x:c r="C102" s="38"/>
      <x:c r="D102" s="38"/>
      <x:c r="E102" s="38" t="str">
        <x:f>IFERROR(XLOOKUP(D102,Teams!$A$5:$A$36,Teams!$C$5:$C$36,""),D102)</x:f>
      </x:c>
      <x:c r="F102" s="38"/>
      <x:c r="G102" s="38" t="str">
        <x:f>IFERROR(XLOOKUP(F102,Teams!$A$5:$A$36,Teams!$C$5:$C$36,""),F102)</x:f>
      </x:c>
      <x:c r="H102" s="60"/>
      <x:c r="I102" s="38"/>
      <x:c r="J102" s="38"/>
      <x:c r="K102" s="38" t="str">
        <x:f>IFERROR(XLOOKUP(J102,Venues!$A$5:$A$24,Venues!$B$5:$B$24,""),"")</x:f>
      </x:c>
      <x:c r="L102" s="38"/>
      <x:c r="M102" s="38" t="str">
        <x:f>IF(A102="","",TEXT(H102,"yyyy-mm-dd")&amp;" | "&amp;A102&amp;" | "&amp;E102&amp;" v "&amp;G102&amp;" | "&amp;K102)</x:f>
      </x:c>
      <x:c r="N102" s="38" t="str">
        <x:f>IF(A102="","",IF(AND(L102="Scheduled",D102&lt;&gt;"TBD",F102&lt;&gt;"TBD",E102&lt;&gt;"",G102&lt;&gt;"",D102&lt;&gt;F102,J102&lt;&gt;"",K102&lt;&gt;""),"Yes","No"))</x:f>
      </x:c>
      <x:c r="O102" s="38" t="str">
        <x:f>IF(A102="","",IF(COUNTIF($A$5:$A$204,A102)&gt;1,"Duplicate Match ID",IF(OR(D102="",F102="",J102=""),"Missing fixture field",IF(OR(D102="TBD",F102="TBD",E102="",G102=""),"Unresolved placeholder fixture",IF(D102=F102,"Home and away same",IF(K102="","Missing venue display","OK"))))))</x:f>
      </x:c>
    </x:row>
    <x:row r="103" ht="15" hidden="0" customHeight="1">
      <x:c r="A103" s="38"/>
      <x:c r="B103" s="38"/>
      <x:c r="C103" s="38"/>
      <x:c r="D103" s="38"/>
      <x:c r="E103" s="38" t="str">
        <x:f>IFERROR(XLOOKUP(D103,Teams!$A$5:$A$36,Teams!$C$5:$C$36,""),D103)</x:f>
      </x:c>
      <x:c r="F103" s="38"/>
      <x:c r="G103" s="38" t="str">
        <x:f>IFERROR(XLOOKUP(F103,Teams!$A$5:$A$36,Teams!$C$5:$C$36,""),F103)</x:f>
      </x:c>
      <x:c r="H103" s="60"/>
      <x:c r="I103" s="38"/>
      <x:c r="J103" s="38"/>
      <x:c r="K103" s="38" t="str">
        <x:f>IFERROR(XLOOKUP(J103,Venues!$A$5:$A$24,Venues!$B$5:$B$24,""),"")</x:f>
      </x:c>
      <x:c r="L103" s="38"/>
      <x:c r="M103" s="38" t="str">
        <x:f>IF(A103="","",TEXT(H103,"yyyy-mm-dd")&amp;" | "&amp;A103&amp;" | "&amp;E103&amp;" v "&amp;G103&amp;" | "&amp;K103)</x:f>
      </x:c>
      <x:c r="N103" s="38" t="str">
        <x:f>IF(A103="","",IF(AND(L103="Scheduled",D103&lt;&gt;"TBD",F103&lt;&gt;"TBD",E103&lt;&gt;"",G103&lt;&gt;"",D103&lt;&gt;F103,J103&lt;&gt;"",K103&lt;&gt;""),"Yes","No"))</x:f>
      </x:c>
      <x:c r="O103" s="38" t="str">
        <x:f>IF(A103="","",IF(COUNTIF($A$5:$A$204,A103)&gt;1,"Duplicate Match ID",IF(OR(D103="",F103="",J103=""),"Missing fixture field",IF(OR(D103="TBD",F103="TBD",E103="",G103=""),"Unresolved placeholder fixture",IF(D103=F103,"Home and away same",IF(K103="","Missing venue display","OK"))))))</x:f>
      </x:c>
    </x:row>
    <x:row r="104" ht="15" hidden="0" customHeight="1">
      <x:c r="A104" s="38"/>
      <x:c r="B104" s="38"/>
      <x:c r="C104" s="38"/>
      <x:c r="D104" s="38"/>
      <x:c r="E104" s="38" t="str">
        <x:f>IFERROR(XLOOKUP(D104,Teams!$A$5:$A$36,Teams!$C$5:$C$36,""),D104)</x:f>
      </x:c>
      <x:c r="F104" s="38"/>
      <x:c r="G104" s="38" t="str">
        <x:f>IFERROR(XLOOKUP(F104,Teams!$A$5:$A$36,Teams!$C$5:$C$36,""),F104)</x:f>
      </x:c>
      <x:c r="H104" s="60"/>
      <x:c r="I104" s="38"/>
      <x:c r="J104" s="38"/>
      <x:c r="K104" s="38" t="str">
        <x:f>IFERROR(XLOOKUP(J104,Venues!$A$5:$A$24,Venues!$B$5:$B$24,""),"")</x:f>
      </x:c>
      <x:c r="L104" s="38"/>
      <x:c r="M104" s="38" t="str">
        <x:f>IF(A104="","",TEXT(H104,"yyyy-mm-dd")&amp;" | "&amp;A104&amp;" | "&amp;E104&amp;" v "&amp;G104&amp;" | "&amp;K104)</x:f>
      </x:c>
      <x:c r="N104" s="38" t="str">
        <x:f>IF(A104="","",IF(AND(L104="Scheduled",D104&lt;&gt;"TBD",F104&lt;&gt;"TBD",E104&lt;&gt;"",G104&lt;&gt;"",D104&lt;&gt;F104,J104&lt;&gt;"",K104&lt;&gt;""),"Yes","No"))</x:f>
      </x:c>
      <x:c r="O104" s="38" t="str">
        <x:f>IF(A104="","",IF(COUNTIF($A$5:$A$204,A104)&gt;1,"Duplicate Match ID",IF(OR(D104="",F104="",J104=""),"Missing fixture field",IF(OR(D104="TBD",F104="TBD",E104="",G104=""),"Unresolved placeholder fixture",IF(D104=F104,"Home and away same",IF(K104="","Missing venue display","OK"))))))</x:f>
      </x:c>
    </x:row>
    <x:row r="105" ht="15" hidden="0" customHeight="1">
      <x:c r="A105" s="38"/>
      <x:c r="B105" s="38"/>
      <x:c r="C105" s="38"/>
      <x:c r="D105" s="38"/>
      <x:c r="E105" s="38" t="str">
        <x:f>IFERROR(XLOOKUP(D105,Teams!$A$5:$A$36,Teams!$C$5:$C$36,""),D105)</x:f>
      </x:c>
      <x:c r="F105" s="38"/>
      <x:c r="G105" s="38" t="str">
        <x:f>IFERROR(XLOOKUP(F105,Teams!$A$5:$A$36,Teams!$C$5:$C$36,""),F105)</x:f>
      </x:c>
      <x:c r="H105" s="60"/>
      <x:c r="I105" s="38"/>
      <x:c r="J105" s="38"/>
      <x:c r="K105" s="38" t="str">
        <x:f>IFERROR(XLOOKUP(J105,Venues!$A$5:$A$24,Venues!$B$5:$B$24,""),"")</x:f>
      </x:c>
      <x:c r="L105" s="38"/>
      <x:c r="M105" s="38" t="str">
        <x:f>IF(A105="","",TEXT(H105,"yyyy-mm-dd")&amp;" | "&amp;A105&amp;" | "&amp;E105&amp;" v "&amp;G105&amp;" | "&amp;K105)</x:f>
      </x:c>
      <x:c r="N105" s="38" t="str">
        <x:f>IF(A105="","",IF(AND(L105="Scheduled",D105&lt;&gt;"TBD",F105&lt;&gt;"TBD",E105&lt;&gt;"",G105&lt;&gt;"",D105&lt;&gt;F105,J105&lt;&gt;"",K105&lt;&gt;""),"Yes","No"))</x:f>
      </x:c>
      <x:c r="O105" s="38" t="str">
        <x:f>IF(A105="","",IF(COUNTIF($A$5:$A$204,A105)&gt;1,"Duplicate Match ID",IF(OR(D105="",F105="",J105=""),"Missing fixture field",IF(OR(D105="TBD",F105="TBD",E105="",G105=""),"Unresolved placeholder fixture",IF(D105=F105,"Home and away same",IF(K105="","Missing venue display","OK"))))))</x:f>
      </x:c>
    </x:row>
    <x:row r="106" ht="15" hidden="0" customHeight="1">
      <x:c r="A106" s="38"/>
      <x:c r="B106" s="38"/>
      <x:c r="C106" s="38"/>
      <x:c r="D106" s="38"/>
      <x:c r="E106" s="38" t="str">
        <x:f>IFERROR(XLOOKUP(D106,Teams!$A$5:$A$36,Teams!$C$5:$C$36,""),D106)</x:f>
      </x:c>
      <x:c r="F106" s="38"/>
      <x:c r="G106" s="38" t="str">
        <x:f>IFERROR(XLOOKUP(F106,Teams!$A$5:$A$36,Teams!$C$5:$C$36,""),F106)</x:f>
      </x:c>
      <x:c r="H106" s="60"/>
      <x:c r="I106" s="38"/>
      <x:c r="J106" s="38"/>
      <x:c r="K106" s="38" t="str">
        <x:f>IFERROR(XLOOKUP(J106,Venues!$A$5:$A$24,Venues!$B$5:$B$24,""),"")</x:f>
      </x:c>
      <x:c r="L106" s="38"/>
      <x:c r="M106" s="38" t="str">
        <x:f>IF(A106="","",TEXT(H106,"yyyy-mm-dd")&amp;" | "&amp;A106&amp;" | "&amp;E106&amp;" v "&amp;G106&amp;" | "&amp;K106)</x:f>
      </x:c>
      <x:c r="N106" s="38" t="str">
        <x:f>IF(A106="","",IF(AND(L106="Scheduled",D106&lt;&gt;"TBD",F106&lt;&gt;"TBD",E106&lt;&gt;"",G106&lt;&gt;"",D106&lt;&gt;F106,J106&lt;&gt;"",K106&lt;&gt;""),"Yes","No"))</x:f>
      </x:c>
      <x:c r="O106" s="38" t="str">
        <x:f>IF(A106="","",IF(COUNTIF($A$5:$A$204,A106)&gt;1,"Duplicate Match ID",IF(OR(D106="",F106="",J106=""),"Missing fixture field",IF(OR(D106="TBD",F106="TBD",E106="",G106=""),"Unresolved placeholder fixture",IF(D106=F106,"Home and away same",IF(K106="","Missing venue display","OK"))))))</x:f>
      </x:c>
    </x:row>
    <x:row r="107" ht="15" hidden="0" customHeight="1">
      <x:c r="A107" s="38"/>
      <x:c r="B107" s="38"/>
      <x:c r="C107" s="38"/>
      <x:c r="D107" s="38"/>
      <x:c r="E107" s="38" t="str">
        <x:f>IFERROR(XLOOKUP(D107,Teams!$A$5:$A$36,Teams!$C$5:$C$36,""),D107)</x:f>
      </x:c>
      <x:c r="F107" s="38"/>
      <x:c r="G107" s="38" t="str">
        <x:f>IFERROR(XLOOKUP(F107,Teams!$A$5:$A$36,Teams!$C$5:$C$36,""),F107)</x:f>
      </x:c>
      <x:c r="H107" s="60"/>
      <x:c r="I107" s="38"/>
      <x:c r="J107" s="38"/>
      <x:c r="K107" s="38" t="str">
        <x:f>IFERROR(XLOOKUP(J107,Venues!$A$5:$A$24,Venues!$B$5:$B$24,""),"")</x:f>
      </x:c>
      <x:c r="L107" s="38"/>
      <x:c r="M107" s="38" t="str">
        <x:f>IF(A107="","",TEXT(H107,"yyyy-mm-dd")&amp;" | "&amp;A107&amp;" | "&amp;E107&amp;" v "&amp;G107&amp;" | "&amp;K107)</x:f>
      </x:c>
      <x:c r="N107" s="38" t="str">
        <x:f>IF(A107="","",IF(AND(L107="Scheduled",D107&lt;&gt;"TBD",F107&lt;&gt;"TBD",E107&lt;&gt;"",G107&lt;&gt;"",D107&lt;&gt;F107,J107&lt;&gt;"",K107&lt;&gt;""),"Yes","No"))</x:f>
      </x:c>
      <x:c r="O107" s="38" t="str">
        <x:f>IF(A107="","",IF(COUNTIF($A$5:$A$204,A107)&gt;1,"Duplicate Match ID",IF(OR(D107="",F107="",J107=""),"Missing fixture field",IF(OR(D107="TBD",F107="TBD",E107="",G107=""),"Unresolved placeholder fixture",IF(D107=F107,"Home and away same",IF(K107="","Missing venue display","OK"))))))</x:f>
      </x:c>
    </x:row>
    <x:row r="108" ht="15" hidden="0" customHeight="1">
      <x:c r="A108" s="38"/>
      <x:c r="B108" s="38"/>
      <x:c r="C108" s="38"/>
      <x:c r="D108" s="38"/>
      <x:c r="E108" s="38" t="str">
        <x:f>IFERROR(XLOOKUP(D108,Teams!$A$5:$A$36,Teams!$C$5:$C$36,""),D108)</x:f>
      </x:c>
      <x:c r="F108" s="38"/>
      <x:c r="G108" s="38" t="str">
        <x:f>IFERROR(XLOOKUP(F108,Teams!$A$5:$A$36,Teams!$C$5:$C$36,""),F108)</x:f>
      </x:c>
      <x:c r="H108" s="60"/>
      <x:c r="I108" s="38"/>
      <x:c r="J108" s="38"/>
      <x:c r="K108" s="38" t="str">
        <x:f>IFERROR(XLOOKUP(J108,Venues!$A$5:$A$24,Venues!$B$5:$B$24,""),"")</x:f>
      </x:c>
      <x:c r="L108" s="38"/>
      <x:c r="M108" s="38" t="str">
        <x:f>IF(A108="","",TEXT(H108,"yyyy-mm-dd")&amp;" | "&amp;A108&amp;" | "&amp;E108&amp;" v "&amp;G108&amp;" | "&amp;K108)</x:f>
      </x:c>
      <x:c r="N108" s="38" t="str">
        <x:f>IF(A108="","",IF(AND(L108="Scheduled",D108&lt;&gt;"TBD",F108&lt;&gt;"TBD",E108&lt;&gt;"",G108&lt;&gt;"",D108&lt;&gt;F108,J108&lt;&gt;"",K108&lt;&gt;""),"Yes","No"))</x:f>
      </x:c>
      <x:c r="O108" s="38" t="str">
        <x:f>IF(A108="","",IF(COUNTIF($A$5:$A$204,A108)&gt;1,"Duplicate Match ID",IF(OR(D108="",F108="",J108=""),"Missing fixture field",IF(OR(D108="TBD",F108="TBD",E108="",G108=""),"Unresolved placeholder fixture",IF(D108=F108,"Home and away same",IF(K108="","Missing venue display","OK"))))))</x:f>
      </x:c>
    </x:row>
    <x:row r="109" ht="15" hidden="0" customHeight="1">
      <x:c r="A109" s="38"/>
      <x:c r="B109" s="38"/>
      <x:c r="C109" s="38"/>
      <x:c r="D109" s="38"/>
      <x:c r="E109" s="38" t="str">
        <x:f>IFERROR(XLOOKUP(D109,Teams!$A$5:$A$36,Teams!$C$5:$C$36,""),D109)</x:f>
      </x:c>
      <x:c r="F109" s="38"/>
      <x:c r="G109" s="38" t="str">
        <x:f>IFERROR(XLOOKUP(F109,Teams!$A$5:$A$36,Teams!$C$5:$C$36,""),F109)</x:f>
      </x:c>
      <x:c r="H109" s="60"/>
      <x:c r="I109" s="38"/>
      <x:c r="J109" s="38"/>
      <x:c r="K109" s="38" t="str">
        <x:f>IFERROR(XLOOKUP(J109,Venues!$A$5:$A$24,Venues!$B$5:$B$24,""),"")</x:f>
      </x:c>
      <x:c r="L109" s="38"/>
      <x:c r="M109" s="38" t="str">
        <x:f>IF(A109="","",TEXT(H109,"yyyy-mm-dd")&amp;" | "&amp;A109&amp;" | "&amp;E109&amp;" v "&amp;G109&amp;" | "&amp;K109)</x:f>
      </x:c>
      <x:c r="N109" s="38" t="str">
        <x:f>IF(A109="","",IF(AND(L109="Scheduled",D109&lt;&gt;"TBD",F109&lt;&gt;"TBD",E109&lt;&gt;"",G109&lt;&gt;"",D109&lt;&gt;F109,J109&lt;&gt;"",K109&lt;&gt;""),"Yes","No"))</x:f>
      </x:c>
      <x:c r="O109" s="38" t="str">
        <x:f>IF(A109="","",IF(COUNTIF($A$5:$A$204,A109)&gt;1,"Duplicate Match ID",IF(OR(D109="",F109="",J109=""),"Missing fixture field",IF(OR(D109="TBD",F109="TBD",E109="",G109=""),"Unresolved placeholder fixture",IF(D109=F109,"Home and away same",IF(K109="","Missing venue display","OK"))))))</x:f>
      </x:c>
    </x:row>
    <x:row r="110" ht="15" hidden="0" customHeight="1">
      <x:c r="A110" s="38"/>
      <x:c r="B110" s="38"/>
      <x:c r="C110" s="38"/>
      <x:c r="D110" s="38"/>
      <x:c r="E110" s="38" t="str">
        <x:f>IFERROR(XLOOKUP(D110,Teams!$A$5:$A$36,Teams!$C$5:$C$36,""),D110)</x:f>
      </x:c>
      <x:c r="F110" s="38"/>
      <x:c r="G110" s="38" t="str">
        <x:f>IFERROR(XLOOKUP(F110,Teams!$A$5:$A$36,Teams!$C$5:$C$36,""),F110)</x:f>
      </x:c>
      <x:c r="H110" s="60"/>
      <x:c r="I110" s="38"/>
      <x:c r="J110" s="38"/>
      <x:c r="K110" s="38" t="str">
        <x:f>IFERROR(XLOOKUP(J110,Venues!$A$5:$A$24,Venues!$B$5:$B$24,""),"")</x:f>
      </x:c>
      <x:c r="L110" s="38"/>
      <x:c r="M110" s="38" t="str">
        <x:f>IF(A110="","",TEXT(H110,"yyyy-mm-dd")&amp;" | "&amp;A110&amp;" | "&amp;E110&amp;" v "&amp;G110&amp;" | "&amp;K110)</x:f>
      </x:c>
      <x:c r="N110" s="38" t="str">
        <x:f>IF(A110="","",IF(AND(L110="Scheduled",D110&lt;&gt;"TBD",F110&lt;&gt;"TBD",E110&lt;&gt;"",G110&lt;&gt;"",D110&lt;&gt;F110,J110&lt;&gt;"",K110&lt;&gt;""),"Yes","No"))</x:f>
      </x:c>
      <x:c r="O110" s="38" t="str">
        <x:f>IF(A110="","",IF(COUNTIF($A$5:$A$204,A110)&gt;1,"Duplicate Match ID",IF(OR(D110="",F110="",J110=""),"Missing fixture field",IF(OR(D110="TBD",F110="TBD",E110="",G110=""),"Unresolved placeholder fixture",IF(D110=F110,"Home and away same",IF(K110="","Missing venue display","OK"))))))</x:f>
      </x:c>
    </x:row>
    <x:row r="111" ht="15" hidden="0" customHeight="1">
      <x:c r="A111" s="38"/>
      <x:c r="B111" s="38"/>
      <x:c r="C111" s="38"/>
      <x:c r="D111" s="38"/>
      <x:c r="E111" s="38" t="str">
        <x:f>IFERROR(XLOOKUP(D111,Teams!$A$5:$A$36,Teams!$C$5:$C$36,""),D111)</x:f>
      </x:c>
      <x:c r="F111" s="38"/>
      <x:c r="G111" s="38" t="str">
        <x:f>IFERROR(XLOOKUP(F111,Teams!$A$5:$A$36,Teams!$C$5:$C$36,""),F111)</x:f>
      </x:c>
      <x:c r="H111" s="60"/>
      <x:c r="I111" s="38"/>
      <x:c r="J111" s="38"/>
      <x:c r="K111" s="38" t="str">
        <x:f>IFERROR(XLOOKUP(J111,Venues!$A$5:$A$24,Venues!$B$5:$B$24,""),"")</x:f>
      </x:c>
      <x:c r="L111" s="38"/>
      <x:c r="M111" s="38" t="str">
        <x:f>IF(A111="","",TEXT(H111,"yyyy-mm-dd")&amp;" | "&amp;A111&amp;" | "&amp;E111&amp;" v "&amp;G111&amp;" | "&amp;K111)</x:f>
      </x:c>
      <x:c r="N111" s="38" t="str">
        <x:f>IF(A111="","",IF(AND(L111="Scheduled",D111&lt;&gt;"TBD",F111&lt;&gt;"TBD",E111&lt;&gt;"",G111&lt;&gt;"",D111&lt;&gt;F111,J111&lt;&gt;"",K111&lt;&gt;""),"Yes","No"))</x:f>
      </x:c>
      <x:c r="O111" s="38" t="str">
        <x:f>IF(A111="","",IF(COUNTIF($A$5:$A$204,A111)&gt;1,"Duplicate Match ID",IF(OR(D111="",F111="",J111=""),"Missing fixture field",IF(OR(D111="TBD",F111="TBD",E111="",G111=""),"Unresolved placeholder fixture",IF(D111=F111,"Home and away same",IF(K111="","Missing venue display","OK"))))))</x:f>
      </x:c>
    </x:row>
    <x:row r="112" ht="15" hidden="0" customHeight="1">
      <x:c r="A112" s="38"/>
      <x:c r="B112" s="38"/>
      <x:c r="C112" s="38"/>
      <x:c r="D112" s="38"/>
      <x:c r="E112" s="38" t="str">
        <x:f>IFERROR(XLOOKUP(D112,Teams!$A$5:$A$36,Teams!$C$5:$C$36,""),D112)</x:f>
      </x:c>
      <x:c r="F112" s="38"/>
      <x:c r="G112" s="38" t="str">
        <x:f>IFERROR(XLOOKUP(F112,Teams!$A$5:$A$36,Teams!$C$5:$C$36,""),F112)</x:f>
      </x:c>
      <x:c r="H112" s="60"/>
      <x:c r="I112" s="38"/>
      <x:c r="J112" s="38"/>
      <x:c r="K112" s="38" t="str">
        <x:f>IFERROR(XLOOKUP(J112,Venues!$A$5:$A$24,Venues!$B$5:$B$24,""),"")</x:f>
      </x:c>
      <x:c r="L112" s="38"/>
      <x:c r="M112" s="38" t="str">
        <x:f>IF(A112="","",TEXT(H112,"yyyy-mm-dd")&amp;" | "&amp;A112&amp;" | "&amp;E112&amp;" v "&amp;G112&amp;" | "&amp;K112)</x:f>
      </x:c>
      <x:c r="N112" s="38" t="str">
        <x:f>IF(A112="","",IF(AND(L112="Scheduled",D112&lt;&gt;"TBD",F112&lt;&gt;"TBD",E112&lt;&gt;"",G112&lt;&gt;"",D112&lt;&gt;F112,J112&lt;&gt;"",K112&lt;&gt;""),"Yes","No"))</x:f>
      </x:c>
      <x:c r="O112" s="38" t="str">
        <x:f>IF(A112="","",IF(COUNTIF($A$5:$A$204,A112)&gt;1,"Duplicate Match ID",IF(OR(D112="",F112="",J112=""),"Missing fixture field",IF(OR(D112="TBD",F112="TBD",E112="",G112=""),"Unresolved placeholder fixture",IF(D112=F112,"Home and away same",IF(K112="","Missing venue display","OK"))))))</x:f>
      </x:c>
    </x:row>
    <x:row r="113" ht="15" hidden="0" customHeight="1">
      <x:c r="A113" s="38"/>
      <x:c r="B113" s="38"/>
      <x:c r="C113" s="38"/>
      <x:c r="D113" s="38"/>
      <x:c r="E113" s="38" t="str">
        <x:f>IFERROR(XLOOKUP(D113,Teams!$A$5:$A$36,Teams!$C$5:$C$36,""),D113)</x:f>
      </x:c>
      <x:c r="F113" s="38"/>
      <x:c r="G113" s="38" t="str">
        <x:f>IFERROR(XLOOKUP(F113,Teams!$A$5:$A$36,Teams!$C$5:$C$36,""),F113)</x:f>
      </x:c>
      <x:c r="H113" s="60"/>
      <x:c r="I113" s="38"/>
      <x:c r="J113" s="38"/>
      <x:c r="K113" s="38" t="str">
        <x:f>IFERROR(XLOOKUP(J113,Venues!$A$5:$A$24,Venues!$B$5:$B$24,""),"")</x:f>
      </x:c>
      <x:c r="L113" s="38"/>
      <x:c r="M113" s="38" t="str">
        <x:f>IF(A113="","",TEXT(H113,"yyyy-mm-dd")&amp;" | "&amp;A113&amp;" | "&amp;E113&amp;" v "&amp;G113&amp;" | "&amp;K113)</x:f>
      </x:c>
      <x:c r="N113" s="38" t="str">
        <x:f>IF(A113="","",IF(AND(L113="Scheduled",D113&lt;&gt;"TBD",F113&lt;&gt;"TBD",E113&lt;&gt;"",G113&lt;&gt;"",D113&lt;&gt;F113,J113&lt;&gt;"",K113&lt;&gt;""),"Yes","No"))</x:f>
      </x:c>
      <x:c r="O113" s="38" t="str">
        <x:f>IF(A113="","",IF(COUNTIF($A$5:$A$204,A113)&gt;1,"Duplicate Match ID",IF(OR(D113="",F113="",J113=""),"Missing fixture field",IF(OR(D113="TBD",F113="TBD",E113="",G113=""),"Unresolved placeholder fixture",IF(D113=F113,"Home and away same",IF(K113="","Missing venue display","OK"))))))</x:f>
      </x:c>
    </x:row>
    <x:row r="114" ht="15" hidden="0" customHeight="1">
      <x:c r="A114" s="38"/>
      <x:c r="B114" s="38"/>
      <x:c r="C114" s="38"/>
      <x:c r="D114" s="38"/>
      <x:c r="E114" s="38" t="str">
        <x:f>IFERROR(XLOOKUP(D114,Teams!$A$5:$A$36,Teams!$C$5:$C$36,""),D114)</x:f>
      </x:c>
      <x:c r="F114" s="38"/>
      <x:c r="G114" s="38" t="str">
        <x:f>IFERROR(XLOOKUP(F114,Teams!$A$5:$A$36,Teams!$C$5:$C$36,""),F114)</x:f>
      </x:c>
      <x:c r="H114" s="60"/>
      <x:c r="I114" s="38"/>
      <x:c r="J114" s="38"/>
      <x:c r="K114" s="38" t="str">
        <x:f>IFERROR(XLOOKUP(J114,Venues!$A$5:$A$24,Venues!$B$5:$B$24,""),"")</x:f>
      </x:c>
      <x:c r="L114" s="38"/>
      <x:c r="M114" s="38" t="str">
        <x:f>IF(A114="","",TEXT(H114,"yyyy-mm-dd")&amp;" | "&amp;A114&amp;" | "&amp;E114&amp;" v "&amp;G114&amp;" | "&amp;K114)</x:f>
      </x:c>
      <x:c r="N114" s="38" t="str">
        <x:f>IF(A114="","",IF(AND(L114="Scheduled",D114&lt;&gt;"TBD",F114&lt;&gt;"TBD",E114&lt;&gt;"",G114&lt;&gt;"",D114&lt;&gt;F114,J114&lt;&gt;"",K114&lt;&gt;""),"Yes","No"))</x:f>
      </x:c>
      <x:c r="O114" s="38" t="str">
        <x:f>IF(A114="","",IF(COUNTIF($A$5:$A$204,A114)&gt;1,"Duplicate Match ID",IF(OR(D114="",F114="",J114=""),"Missing fixture field",IF(OR(D114="TBD",F114="TBD",E114="",G114=""),"Unresolved placeholder fixture",IF(D114=F114,"Home and away same",IF(K114="","Missing venue display","OK"))))))</x:f>
      </x:c>
    </x:row>
    <x:row r="115" ht="15" hidden="0" customHeight="1">
      <x:c r="A115" s="38"/>
      <x:c r="B115" s="38"/>
      <x:c r="C115" s="38"/>
      <x:c r="D115" s="38"/>
      <x:c r="E115" s="38" t="str">
        <x:f>IFERROR(XLOOKUP(D115,Teams!$A$5:$A$36,Teams!$C$5:$C$36,""),D115)</x:f>
      </x:c>
      <x:c r="F115" s="38"/>
      <x:c r="G115" s="38" t="str">
        <x:f>IFERROR(XLOOKUP(F115,Teams!$A$5:$A$36,Teams!$C$5:$C$36,""),F115)</x:f>
      </x:c>
      <x:c r="H115" s="60"/>
      <x:c r="I115" s="38"/>
      <x:c r="J115" s="38"/>
      <x:c r="K115" s="38" t="str">
        <x:f>IFERROR(XLOOKUP(J115,Venues!$A$5:$A$24,Venues!$B$5:$B$24,""),"")</x:f>
      </x:c>
      <x:c r="L115" s="38"/>
      <x:c r="M115" s="38" t="str">
        <x:f>IF(A115="","",TEXT(H115,"yyyy-mm-dd")&amp;" | "&amp;A115&amp;" | "&amp;E115&amp;" v "&amp;G115&amp;" | "&amp;K115)</x:f>
      </x:c>
      <x:c r="N115" s="38" t="str">
        <x:f>IF(A115="","",IF(AND(L115="Scheduled",D115&lt;&gt;"TBD",F115&lt;&gt;"TBD",E115&lt;&gt;"",G115&lt;&gt;"",D115&lt;&gt;F115,J115&lt;&gt;"",K115&lt;&gt;""),"Yes","No"))</x:f>
      </x:c>
      <x:c r="O115" s="38" t="str">
        <x:f>IF(A115="","",IF(COUNTIF($A$5:$A$204,A115)&gt;1,"Duplicate Match ID",IF(OR(D115="",F115="",J115=""),"Missing fixture field",IF(OR(D115="TBD",F115="TBD",E115="",G115=""),"Unresolved placeholder fixture",IF(D115=F115,"Home and away same",IF(K115="","Missing venue display","OK"))))))</x:f>
      </x:c>
    </x:row>
    <x:row r="116" ht="15" hidden="0" customHeight="1">
      <x:c r="A116" s="38"/>
      <x:c r="B116" s="38"/>
      <x:c r="C116" s="38"/>
      <x:c r="D116" s="38"/>
      <x:c r="E116" s="38" t="str">
        <x:f>IFERROR(XLOOKUP(D116,Teams!$A$5:$A$36,Teams!$C$5:$C$36,""),D116)</x:f>
      </x:c>
      <x:c r="F116" s="38"/>
      <x:c r="G116" s="38" t="str">
        <x:f>IFERROR(XLOOKUP(F116,Teams!$A$5:$A$36,Teams!$C$5:$C$36,""),F116)</x:f>
      </x:c>
      <x:c r="H116" s="60"/>
      <x:c r="I116" s="38"/>
      <x:c r="J116" s="38"/>
      <x:c r="K116" s="38" t="str">
        <x:f>IFERROR(XLOOKUP(J116,Venues!$A$5:$A$24,Venues!$B$5:$B$24,""),"")</x:f>
      </x:c>
      <x:c r="L116" s="38"/>
      <x:c r="M116" s="38" t="str">
        <x:f>IF(A116="","",TEXT(H116,"yyyy-mm-dd")&amp;" | "&amp;A116&amp;" | "&amp;E116&amp;" v "&amp;G116&amp;" | "&amp;K116)</x:f>
      </x:c>
      <x:c r="N116" s="38" t="str">
        <x:f>IF(A116="","",IF(AND(L116="Scheduled",D116&lt;&gt;"TBD",F116&lt;&gt;"TBD",E116&lt;&gt;"",G116&lt;&gt;"",D116&lt;&gt;F116,J116&lt;&gt;"",K116&lt;&gt;""),"Yes","No"))</x:f>
      </x:c>
      <x:c r="O116" s="38" t="str">
        <x:f>IF(A116="","",IF(COUNTIF($A$5:$A$204,A116)&gt;1,"Duplicate Match ID",IF(OR(D116="",F116="",J116=""),"Missing fixture field",IF(OR(D116="TBD",F116="TBD",E116="",G116=""),"Unresolved placeholder fixture",IF(D116=F116,"Home and away same",IF(K116="","Missing venue display","OK"))))))</x:f>
      </x:c>
    </x:row>
    <x:row r="117" ht="15" hidden="0" customHeight="1">
      <x:c r="A117" s="38"/>
      <x:c r="B117" s="38"/>
      <x:c r="C117" s="38"/>
      <x:c r="D117" s="38"/>
      <x:c r="E117" s="38" t="str">
        <x:f>IFERROR(XLOOKUP(D117,Teams!$A$5:$A$36,Teams!$C$5:$C$36,""),D117)</x:f>
      </x:c>
      <x:c r="F117" s="38"/>
      <x:c r="G117" s="38" t="str">
        <x:f>IFERROR(XLOOKUP(F117,Teams!$A$5:$A$36,Teams!$C$5:$C$36,""),F117)</x:f>
      </x:c>
      <x:c r="H117" s="60"/>
      <x:c r="I117" s="38"/>
      <x:c r="J117" s="38"/>
      <x:c r="K117" s="38" t="str">
        <x:f>IFERROR(XLOOKUP(J117,Venues!$A$5:$A$24,Venues!$B$5:$B$24,""),"")</x:f>
      </x:c>
      <x:c r="L117" s="38"/>
      <x:c r="M117" s="38" t="str">
        <x:f>IF(A117="","",TEXT(H117,"yyyy-mm-dd")&amp;" | "&amp;A117&amp;" | "&amp;E117&amp;" v "&amp;G117&amp;" | "&amp;K117)</x:f>
      </x:c>
      <x:c r="N117" s="38" t="str">
        <x:f>IF(A117="","",IF(AND(L117="Scheduled",D117&lt;&gt;"TBD",F117&lt;&gt;"TBD",E117&lt;&gt;"",G117&lt;&gt;"",D117&lt;&gt;F117,J117&lt;&gt;"",K117&lt;&gt;""),"Yes","No"))</x:f>
      </x:c>
      <x:c r="O117" s="38" t="str">
        <x:f>IF(A117="","",IF(COUNTIF($A$5:$A$204,A117)&gt;1,"Duplicate Match ID",IF(OR(D117="",F117="",J117=""),"Missing fixture field",IF(OR(D117="TBD",F117="TBD",E117="",G117=""),"Unresolved placeholder fixture",IF(D117=F117,"Home and away same",IF(K117="","Missing venue display","OK"))))))</x:f>
      </x:c>
    </x:row>
    <x:row r="118" ht="15" hidden="0" customHeight="1">
      <x:c r="A118" s="38"/>
      <x:c r="B118" s="38"/>
      <x:c r="C118" s="38"/>
      <x:c r="D118" s="38"/>
      <x:c r="E118" s="38" t="str">
        <x:f>IFERROR(XLOOKUP(D118,Teams!$A$5:$A$36,Teams!$C$5:$C$36,""),D118)</x:f>
      </x:c>
      <x:c r="F118" s="38"/>
      <x:c r="G118" s="38" t="str">
        <x:f>IFERROR(XLOOKUP(F118,Teams!$A$5:$A$36,Teams!$C$5:$C$36,""),F118)</x:f>
      </x:c>
      <x:c r="H118" s="60"/>
      <x:c r="I118" s="38"/>
      <x:c r="J118" s="38"/>
      <x:c r="K118" s="38" t="str">
        <x:f>IFERROR(XLOOKUP(J118,Venues!$A$5:$A$24,Venues!$B$5:$B$24,""),"")</x:f>
      </x:c>
      <x:c r="L118" s="38"/>
      <x:c r="M118" s="38" t="str">
        <x:f>IF(A118="","",TEXT(H118,"yyyy-mm-dd")&amp;" | "&amp;A118&amp;" | "&amp;E118&amp;" v "&amp;G118&amp;" | "&amp;K118)</x:f>
      </x:c>
      <x:c r="N118" s="38" t="str">
        <x:f>IF(A118="","",IF(AND(L118="Scheduled",D118&lt;&gt;"TBD",F118&lt;&gt;"TBD",E118&lt;&gt;"",G118&lt;&gt;"",D118&lt;&gt;F118,J118&lt;&gt;"",K118&lt;&gt;""),"Yes","No"))</x:f>
      </x:c>
      <x:c r="O118" s="38" t="str">
        <x:f>IF(A118="","",IF(COUNTIF($A$5:$A$204,A118)&gt;1,"Duplicate Match ID",IF(OR(D118="",F118="",J118=""),"Missing fixture field",IF(OR(D118="TBD",F118="TBD",E118="",G118=""),"Unresolved placeholder fixture",IF(D118=F118,"Home and away same",IF(K118="","Missing venue display","OK"))))))</x:f>
      </x:c>
    </x:row>
    <x:row r="119" ht="15" hidden="0" customHeight="1">
      <x:c r="A119" s="38"/>
      <x:c r="B119" s="38"/>
      <x:c r="C119" s="38"/>
      <x:c r="D119" s="38"/>
      <x:c r="E119" s="38" t="str">
        <x:f>IFERROR(XLOOKUP(D119,Teams!$A$5:$A$36,Teams!$C$5:$C$36,""),D119)</x:f>
      </x:c>
      <x:c r="F119" s="38"/>
      <x:c r="G119" s="38" t="str">
        <x:f>IFERROR(XLOOKUP(F119,Teams!$A$5:$A$36,Teams!$C$5:$C$36,""),F119)</x:f>
      </x:c>
      <x:c r="H119" s="60"/>
      <x:c r="I119" s="38"/>
      <x:c r="J119" s="38"/>
      <x:c r="K119" s="38" t="str">
        <x:f>IFERROR(XLOOKUP(J119,Venues!$A$5:$A$24,Venues!$B$5:$B$24,""),"")</x:f>
      </x:c>
      <x:c r="L119" s="38"/>
      <x:c r="M119" s="38" t="str">
        <x:f>IF(A119="","",TEXT(H119,"yyyy-mm-dd")&amp;" | "&amp;A119&amp;" | "&amp;E119&amp;" v "&amp;G119&amp;" | "&amp;K119)</x:f>
      </x:c>
      <x:c r="N119" s="38" t="str">
        <x:f>IF(A119="","",IF(AND(L119="Scheduled",D119&lt;&gt;"TBD",F119&lt;&gt;"TBD",E119&lt;&gt;"",G119&lt;&gt;"",D119&lt;&gt;F119,J119&lt;&gt;"",K119&lt;&gt;""),"Yes","No"))</x:f>
      </x:c>
      <x:c r="O119" s="38" t="str">
        <x:f>IF(A119="","",IF(COUNTIF($A$5:$A$204,A119)&gt;1,"Duplicate Match ID",IF(OR(D119="",F119="",J119=""),"Missing fixture field",IF(OR(D119="TBD",F119="TBD",E119="",G119=""),"Unresolved placeholder fixture",IF(D119=F119,"Home and away same",IF(K119="","Missing venue display","OK"))))))</x:f>
      </x:c>
    </x:row>
    <x:row r="120" ht="15" hidden="0" customHeight="1">
      <x:c r="A120" s="38"/>
      <x:c r="B120" s="38"/>
      <x:c r="C120" s="38"/>
      <x:c r="D120" s="38"/>
      <x:c r="E120" s="38" t="str">
        <x:f>IFERROR(XLOOKUP(D120,Teams!$A$5:$A$36,Teams!$C$5:$C$36,""),D120)</x:f>
      </x:c>
      <x:c r="F120" s="38"/>
      <x:c r="G120" s="38" t="str">
        <x:f>IFERROR(XLOOKUP(F120,Teams!$A$5:$A$36,Teams!$C$5:$C$36,""),F120)</x:f>
      </x:c>
      <x:c r="H120" s="60"/>
      <x:c r="I120" s="38"/>
      <x:c r="J120" s="38"/>
      <x:c r="K120" s="38" t="str">
        <x:f>IFERROR(XLOOKUP(J120,Venues!$A$5:$A$24,Venues!$B$5:$B$24,""),"")</x:f>
      </x:c>
      <x:c r="L120" s="38"/>
      <x:c r="M120" s="38" t="str">
        <x:f>IF(A120="","",TEXT(H120,"yyyy-mm-dd")&amp;" | "&amp;A120&amp;" | "&amp;E120&amp;" v "&amp;G120&amp;" | "&amp;K120)</x:f>
      </x:c>
      <x:c r="N120" s="38" t="str">
        <x:f>IF(A120="","",IF(AND(L120="Scheduled",D120&lt;&gt;"TBD",F120&lt;&gt;"TBD",E120&lt;&gt;"",G120&lt;&gt;"",D120&lt;&gt;F120,J120&lt;&gt;"",K120&lt;&gt;""),"Yes","No"))</x:f>
      </x:c>
      <x:c r="O120" s="38" t="str">
        <x:f>IF(A120="","",IF(COUNTIF($A$5:$A$204,A120)&gt;1,"Duplicate Match ID",IF(OR(D120="",F120="",J120=""),"Missing fixture field",IF(OR(D120="TBD",F120="TBD",E120="",G120=""),"Unresolved placeholder fixture",IF(D120=F120,"Home and away same",IF(K120="","Missing venue display","OK"))))))</x:f>
      </x:c>
    </x:row>
    <x:row r="121" ht="15" hidden="0" customHeight="1">
      <x:c r="A121" s="38"/>
      <x:c r="B121" s="38"/>
      <x:c r="C121" s="38"/>
      <x:c r="D121" s="38"/>
      <x:c r="E121" s="38" t="str">
        <x:f>IFERROR(XLOOKUP(D121,Teams!$A$5:$A$36,Teams!$C$5:$C$36,""),D121)</x:f>
      </x:c>
      <x:c r="F121" s="38"/>
      <x:c r="G121" s="38" t="str">
        <x:f>IFERROR(XLOOKUP(F121,Teams!$A$5:$A$36,Teams!$C$5:$C$36,""),F121)</x:f>
      </x:c>
      <x:c r="H121" s="60"/>
      <x:c r="I121" s="38"/>
      <x:c r="J121" s="38"/>
      <x:c r="K121" s="38" t="str">
        <x:f>IFERROR(XLOOKUP(J121,Venues!$A$5:$A$24,Venues!$B$5:$B$24,""),"")</x:f>
      </x:c>
      <x:c r="L121" s="38"/>
      <x:c r="M121" s="38" t="str">
        <x:f>IF(A121="","",TEXT(H121,"yyyy-mm-dd")&amp;" | "&amp;A121&amp;" | "&amp;E121&amp;" v "&amp;G121&amp;" | "&amp;K121)</x:f>
      </x:c>
      <x:c r="N121" s="38" t="str">
        <x:f>IF(A121="","",IF(AND(L121="Scheduled",D121&lt;&gt;"TBD",F121&lt;&gt;"TBD",E121&lt;&gt;"",G121&lt;&gt;"",D121&lt;&gt;F121,J121&lt;&gt;"",K121&lt;&gt;""),"Yes","No"))</x:f>
      </x:c>
      <x:c r="O121" s="38" t="str">
        <x:f>IF(A121="","",IF(COUNTIF($A$5:$A$204,A121)&gt;1,"Duplicate Match ID",IF(OR(D121="",F121="",J121=""),"Missing fixture field",IF(OR(D121="TBD",F121="TBD",E121="",G121=""),"Unresolved placeholder fixture",IF(D121=F121,"Home and away same",IF(K121="","Missing venue display","OK"))))))</x:f>
      </x:c>
    </x:row>
    <x:row r="122" ht="15" hidden="0" customHeight="1">
      <x:c r="A122" s="38"/>
      <x:c r="B122" s="38"/>
      <x:c r="C122" s="38"/>
      <x:c r="D122" s="38"/>
      <x:c r="E122" s="38" t="str">
        <x:f>IFERROR(XLOOKUP(D122,Teams!$A$5:$A$36,Teams!$C$5:$C$36,""),D122)</x:f>
      </x:c>
      <x:c r="F122" s="38"/>
      <x:c r="G122" s="38" t="str">
        <x:f>IFERROR(XLOOKUP(F122,Teams!$A$5:$A$36,Teams!$C$5:$C$36,""),F122)</x:f>
      </x:c>
      <x:c r="H122" s="60"/>
      <x:c r="I122" s="38"/>
      <x:c r="J122" s="38"/>
      <x:c r="K122" s="38" t="str">
        <x:f>IFERROR(XLOOKUP(J122,Venues!$A$5:$A$24,Venues!$B$5:$B$24,""),"")</x:f>
      </x:c>
      <x:c r="L122" s="38"/>
      <x:c r="M122" s="38" t="str">
        <x:f>IF(A122="","",TEXT(H122,"yyyy-mm-dd")&amp;" | "&amp;A122&amp;" | "&amp;E122&amp;" v "&amp;G122&amp;" | "&amp;K122)</x:f>
      </x:c>
      <x:c r="N122" s="38" t="str">
        <x:f>IF(A122="","",IF(AND(L122="Scheduled",D122&lt;&gt;"TBD",F122&lt;&gt;"TBD",E122&lt;&gt;"",G122&lt;&gt;"",D122&lt;&gt;F122,J122&lt;&gt;"",K122&lt;&gt;""),"Yes","No"))</x:f>
      </x:c>
      <x:c r="O122" s="38" t="str">
        <x:f>IF(A122="","",IF(COUNTIF($A$5:$A$204,A122)&gt;1,"Duplicate Match ID",IF(OR(D122="",F122="",J122=""),"Missing fixture field",IF(OR(D122="TBD",F122="TBD",E122="",G122=""),"Unresolved placeholder fixture",IF(D122=F122,"Home and away same",IF(K122="","Missing venue display","OK"))))))</x:f>
      </x:c>
    </x:row>
    <x:row r="123" ht="15" hidden="0" customHeight="1">
      <x:c r="A123" s="38"/>
      <x:c r="B123" s="38"/>
      <x:c r="C123" s="38"/>
      <x:c r="D123" s="38"/>
      <x:c r="E123" s="38" t="str">
        <x:f>IFERROR(XLOOKUP(D123,Teams!$A$5:$A$36,Teams!$C$5:$C$36,""),D123)</x:f>
      </x:c>
      <x:c r="F123" s="38"/>
      <x:c r="G123" s="38" t="str">
        <x:f>IFERROR(XLOOKUP(F123,Teams!$A$5:$A$36,Teams!$C$5:$C$36,""),F123)</x:f>
      </x:c>
      <x:c r="H123" s="60"/>
      <x:c r="I123" s="38"/>
      <x:c r="J123" s="38"/>
      <x:c r="K123" s="38" t="str">
        <x:f>IFERROR(XLOOKUP(J123,Venues!$A$5:$A$24,Venues!$B$5:$B$24,""),"")</x:f>
      </x:c>
      <x:c r="L123" s="38"/>
      <x:c r="M123" s="38" t="str">
        <x:f>IF(A123="","",TEXT(H123,"yyyy-mm-dd")&amp;" | "&amp;A123&amp;" | "&amp;E123&amp;" v "&amp;G123&amp;" | "&amp;K123)</x:f>
      </x:c>
      <x:c r="N123" s="38" t="str">
        <x:f>IF(A123="","",IF(AND(L123="Scheduled",D123&lt;&gt;"TBD",F123&lt;&gt;"TBD",E123&lt;&gt;"",G123&lt;&gt;"",D123&lt;&gt;F123,J123&lt;&gt;"",K123&lt;&gt;""),"Yes","No"))</x:f>
      </x:c>
      <x:c r="O123" s="38" t="str">
        <x:f>IF(A123="","",IF(COUNTIF($A$5:$A$204,A123)&gt;1,"Duplicate Match ID",IF(OR(D123="",F123="",J123=""),"Missing fixture field",IF(OR(D123="TBD",F123="TBD",E123="",G123=""),"Unresolved placeholder fixture",IF(D123=F123,"Home and away same",IF(K123="","Missing venue display","OK"))))))</x:f>
      </x:c>
    </x:row>
    <x:row r="124" ht="15" hidden="0" customHeight="1">
      <x:c r="A124" s="38"/>
      <x:c r="B124" s="38"/>
      <x:c r="C124" s="38"/>
      <x:c r="D124" s="38"/>
      <x:c r="E124" s="38" t="str">
        <x:f>IFERROR(XLOOKUP(D124,Teams!$A$5:$A$36,Teams!$C$5:$C$36,""),D124)</x:f>
      </x:c>
      <x:c r="F124" s="38"/>
      <x:c r="G124" s="38" t="str">
        <x:f>IFERROR(XLOOKUP(F124,Teams!$A$5:$A$36,Teams!$C$5:$C$36,""),F124)</x:f>
      </x:c>
      <x:c r="H124" s="60"/>
      <x:c r="I124" s="38"/>
      <x:c r="J124" s="38"/>
      <x:c r="K124" s="38" t="str">
        <x:f>IFERROR(XLOOKUP(J124,Venues!$A$5:$A$24,Venues!$B$5:$B$24,""),"")</x:f>
      </x:c>
      <x:c r="L124" s="38"/>
      <x:c r="M124" s="38" t="str">
        <x:f>IF(A124="","",TEXT(H124,"yyyy-mm-dd")&amp;" | "&amp;A124&amp;" | "&amp;E124&amp;" v "&amp;G124&amp;" | "&amp;K124)</x:f>
      </x:c>
      <x:c r="N124" s="38" t="str">
        <x:f>IF(A124="","",IF(AND(L124="Scheduled",D124&lt;&gt;"TBD",F124&lt;&gt;"TBD",E124&lt;&gt;"",G124&lt;&gt;"",D124&lt;&gt;F124,J124&lt;&gt;"",K124&lt;&gt;""),"Yes","No"))</x:f>
      </x:c>
      <x:c r="O124" s="38" t="str">
        <x:f>IF(A124="","",IF(COUNTIF($A$5:$A$204,A124)&gt;1,"Duplicate Match ID",IF(OR(D124="",F124="",J124=""),"Missing fixture field",IF(OR(D124="TBD",F124="TBD",E124="",G124=""),"Unresolved placeholder fixture",IF(D124=F124,"Home and away same",IF(K124="","Missing venue display","OK"))))))</x:f>
      </x:c>
    </x:row>
    <x:row r="125" ht="15" hidden="0" customHeight="1">
      <x:c r="A125" s="38"/>
      <x:c r="B125" s="38"/>
      <x:c r="C125" s="38"/>
      <x:c r="D125" s="38"/>
      <x:c r="E125" s="38" t="str">
        <x:f>IFERROR(XLOOKUP(D125,Teams!$A$5:$A$36,Teams!$C$5:$C$36,""),D125)</x:f>
      </x:c>
      <x:c r="F125" s="38"/>
      <x:c r="G125" s="38" t="str">
        <x:f>IFERROR(XLOOKUP(F125,Teams!$A$5:$A$36,Teams!$C$5:$C$36,""),F125)</x:f>
      </x:c>
      <x:c r="H125" s="60"/>
      <x:c r="I125" s="38"/>
      <x:c r="J125" s="38"/>
      <x:c r="K125" s="38" t="str">
        <x:f>IFERROR(XLOOKUP(J125,Venues!$A$5:$A$24,Venues!$B$5:$B$24,""),"")</x:f>
      </x:c>
      <x:c r="L125" s="38"/>
      <x:c r="M125" s="38" t="str">
        <x:f>IF(A125="","",TEXT(H125,"yyyy-mm-dd")&amp;" | "&amp;A125&amp;" | "&amp;E125&amp;" v "&amp;G125&amp;" | "&amp;K125)</x:f>
      </x:c>
      <x:c r="N125" s="38" t="str">
        <x:f>IF(A125="","",IF(AND(L125="Scheduled",D125&lt;&gt;"TBD",F125&lt;&gt;"TBD",E125&lt;&gt;"",G125&lt;&gt;"",D125&lt;&gt;F125,J125&lt;&gt;"",K125&lt;&gt;""),"Yes","No"))</x:f>
      </x:c>
      <x:c r="O125" s="38" t="str">
        <x:f>IF(A125="","",IF(COUNTIF($A$5:$A$204,A125)&gt;1,"Duplicate Match ID",IF(OR(D125="",F125="",J125=""),"Missing fixture field",IF(OR(D125="TBD",F125="TBD",E125="",G125=""),"Unresolved placeholder fixture",IF(D125=F125,"Home and away same",IF(K125="","Missing venue display","OK"))))))</x:f>
      </x:c>
    </x:row>
    <x:row r="126" ht="15" hidden="0" customHeight="1">
      <x:c r="A126" s="38"/>
      <x:c r="B126" s="38"/>
      <x:c r="C126" s="38"/>
      <x:c r="D126" s="38"/>
      <x:c r="E126" s="38" t="str">
        <x:f>IFERROR(XLOOKUP(D126,Teams!$A$5:$A$36,Teams!$C$5:$C$36,""),D126)</x:f>
      </x:c>
      <x:c r="F126" s="38"/>
      <x:c r="G126" s="38" t="str">
        <x:f>IFERROR(XLOOKUP(F126,Teams!$A$5:$A$36,Teams!$C$5:$C$36,""),F126)</x:f>
      </x:c>
      <x:c r="H126" s="60"/>
      <x:c r="I126" s="38"/>
      <x:c r="J126" s="38"/>
      <x:c r="K126" s="38" t="str">
        <x:f>IFERROR(XLOOKUP(J126,Venues!$A$5:$A$24,Venues!$B$5:$B$24,""),"")</x:f>
      </x:c>
      <x:c r="L126" s="38"/>
      <x:c r="M126" s="38" t="str">
        <x:f>IF(A126="","",TEXT(H126,"yyyy-mm-dd")&amp;" | "&amp;A126&amp;" | "&amp;E126&amp;" v "&amp;G126&amp;" | "&amp;K126)</x:f>
      </x:c>
      <x:c r="N126" s="38" t="str">
        <x:f>IF(A126="","",IF(AND(L126="Scheduled",D126&lt;&gt;"TBD",F126&lt;&gt;"TBD",E126&lt;&gt;"",G126&lt;&gt;"",D126&lt;&gt;F126,J126&lt;&gt;"",K126&lt;&gt;""),"Yes","No"))</x:f>
      </x:c>
      <x:c r="O126" s="38" t="str">
        <x:f>IF(A126="","",IF(COUNTIF($A$5:$A$204,A126)&gt;1,"Duplicate Match ID",IF(OR(D126="",F126="",J126=""),"Missing fixture field",IF(OR(D126="TBD",F126="TBD",E126="",G126=""),"Unresolved placeholder fixture",IF(D126=F126,"Home and away same",IF(K126="","Missing venue display","OK"))))))</x:f>
      </x:c>
    </x:row>
    <x:row r="127" ht="15" hidden="0" customHeight="1">
      <x:c r="A127" s="38"/>
      <x:c r="B127" s="38"/>
      <x:c r="C127" s="38"/>
      <x:c r="D127" s="38"/>
      <x:c r="E127" s="38" t="str">
        <x:f>IFERROR(XLOOKUP(D127,Teams!$A$5:$A$36,Teams!$C$5:$C$36,""),D127)</x:f>
      </x:c>
      <x:c r="F127" s="38"/>
      <x:c r="G127" s="38" t="str">
        <x:f>IFERROR(XLOOKUP(F127,Teams!$A$5:$A$36,Teams!$C$5:$C$36,""),F127)</x:f>
      </x:c>
      <x:c r="H127" s="60"/>
      <x:c r="I127" s="38"/>
      <x:c r="J127" s="38"/>
      <x:c r="K127" s="38" t="str">
        <x:f>IFERROR(XLOOKUP(J127,Venues!$A$5:$A$24,Venues!$B$5:$B$24,""),"")</x:f>
      </x:c>
      <x:c r="L127" s="38"/>
      <x:c r="M127" s="38" t="str">
        <x:f>IF(A127="","",TEXT(H127,"yyyy-mm-dd")&amp;" | "&amp;A127&amp;" | "&amp;E127&amp;" v "&amp;G127&amp;" | "&amp;K127)</x:f>
      </x:c>
      <x:c r="N127" s="38" t="str">
        <x:f>IF(A127="","",IF(AND(L127="Scheduled",D127&lt;&gt;"TBD",F127&lt;&gt;"TBD",E127&lt;&gt;"",G127&lt;&gt;"",D127&lt;&gt;F127,J127&lt;&gt;"",K127&lt;&gt;""),"Yes","No"))</x:f>
      </x:c>
      <x:c r="O127" s="38" t="str">
        <x:f>IF(A127="","",IF(COUNTIF($A$5:$A$204,A127)&gt;1,"Duplicate Match ID",IF(OR(D127="",F127="",J127=""),"Missing fixture field",IF(OR(D127="TBD",F127="TBD",E127="",G127=""),"Unresolved placeholder fixture",IF(D127=F127,"Home and away same",IF(K127="","Missing venue display","OK"))))))</x:f>
      </x:c>
    </x:row>
    <x:row r="128" ht="15" hidden="0" customHeight="1">
      <x:c r="A128" s="38"/>
      <x:c r="B128" s="38"/>
      <x:c r="C128" s="38"/>
      <x:c r="D128" s="38"/>
      <x:c r="E128" s="38" t="str">
        <x:f>IFERROR(XLOOKUP(D128,Teams!$A$5:$A$36,Teams!$C$5:$C$36,""),D128)</x:f>
      </x:c>
      <x:c r="F128" s="38"/>
      <x:c r="G128" s="38" t="str">
        <x:f>IFERROR(XLOOKUP(F128,Teams!$A$5:$A$36,Teams!$C$5:$C$36,""),F128)</x:f>
      </x:c>
      <x:c r="H128" s="60"/>
      <x:c r="I128" s="38"/>
      <x:c r="J128" s="38"/>
      <x:c r="K128" s="38" t="str">
        <x:f>IFERROR(XLOOKUP(J128,Venues!$A$5:$A$24,Venues!$B$5:$B$24,""),"")</x:f>
      </x:c>
      <x:c r="L128" s="38"/>
      <x:c r="M128" s="38" t="str">
        <x:f>IF(A128="","",TEXT(H128,"yyyy-mm-dd")&amp;" | "&amp;A128&amp;" | "&amp;E128&amp;" v "&amp;G128&amp;" | "&amp;K128)</x:f>
      </x:c>
      <x:c r="N128" s="38" t="str">
        <x:f>IF(A128="","",IF(AND(L128="Scheduled",D128&lt;&gt;"TBD",F128&lt;&gt;"TBD",E128&lt;&gt;"",G128&lt;&gt;"",D128&lt;&gt;F128,J128&lt;&gt;"",K128&lt;&gt;""),"Yes","No"))</x:f>
      </x:c>
      <x:c r="O128" s="38" t="str">
        <x:f>IF(A128="","",IF(COUNTIF($A$5:$A$204,A128)&gt;1,"Duplicate Match ID",IF(OR(D128="",F128="",J128=""),"Missing fixture field",IF(OR(D128="TBD",F128="TBD",E128="",G128=""),"Unresolved placeholder fixture",IF(D128=F128,"Home and away same",IF(K128="","Missing venue display","OK"))))))</x:f>
      </x:c>
    </x:row>
    <x:row r="129" ht="15" hidden="0" customHeight="1">
      <x:c r="A129" s="38"/>
      <x:c r="B129" s="38"/>
      <x:c r="C129" s="38"/>
      <x:c r="D129" s="38"/>
      <x:c r="E129" s="38" t="str">
        <x:f>IFERROR(XLOOKUP(D129,Teams!$A$5:$A$36,Teams!$C$5:$C$36,""),D129)</x:f>
      </x:c>
      <x:c r="F129" s="38"/>
      <x:c r="G129" s="38" t="str">
        <x:f>IFERROR(XLOOKUP(F129,Teams!$A$5:$A$36,Teams!$C$5:$C$36,""),F129)</x:f>
      </x:c>
      <x:c r="H129" s="60"/>
      <x:c r="I129" s="38"/>
      <x:c r="J129" s="38"/>
      <x:c r="K129" s="38" t="str">
        <x:f>IFERROR(XLOOKUP(J129,Venues!$A$5:$A$24,Venues!$B$5:$B$24,""),"")</x:f>
      </x:c>
      <x:c r="L129" s="38"/>
      <x:c r="M129" s="38" t="str">
        <x:f>IF(A129="","",TEXT(H129,"yyyy-mm-dd")&amp;" | "&amp;A129&amp;" | "&amp;E129&amp;" v "&amp;G129&amp;" | "&amp;K129)</x:f>
      </x:c>
      <x:c r="N129" s="38" t="str">
        <x:f>IF(A129="","",IF(AND(L129="Scheduled",D129&lt;&gt;"TBD",F129&lt;&gt;"TBD",E129&lt;&gt;"",G129&lt;&gt;"",D129&lt;&gt;F129,J129&lt;&gt;"",K129&lt;&gt;""),"Yes","No"))</x:f>
      </x:c>
      <x:c r="O129" s="38" t="str">
        <x:f>IF(A129="","",IF(COUNTIF($A$5:$A$204,A129)&gt;1,"Duplicate Match ID",IF(OR(D129="",F129="",J129=""),"Missing fixture field",IF(OR(D129="TBD",F129="TBD",E129="",G129=""),"Unresolved placeholder fixture",IF(D129=F129,"Home and away same",IF(K129="","Missing venue display","OK"))))))</x:f>
      </x:c>
    </x:row>
    <x:row r="130" ht="15" hidden="0" customHeight="1">
      <x:c r="A130" s="38"/>
      <x:c r="B130" s="38"/>
      <x:c r="C130" s="38"/>
      <x:c r="D130" s="38"/>
      <x:c r="E130" s="38" t="str">
        <x:f>IFERROR(XLOOKUP(D130,Teams!$A$5:$A$36,Teams!$C$5:$C$36,""),D130)</x:f>
      </x:c>
      <x:c r="F130" s="38"/>
      <x:c r="G130" s="38" t="str">
        <x:f>IFERROR(XLOOKUP(F130,Teams!$A$5:$A$36,Teams!$C$5:$C$36,""),F130)</x:f>
      </x:c>
      <x:c r="H130" s="60"/>
      <x:c r="I130" s="38"/>
      <x:c r="J130" s="38"/>
      <x:c r="K130" s="38" t="str">
        <x:f>IFERROR(XLOOKUP(J130,Venues!$A$5:$A$24,Venues!$B$5:$B$24,""),"")</x:f>
      </x:c>
      <x:c r="L130" s="38"/>
      <x:c r="M130" s="38" t="str">
        <x:f>IF(A130="","",TEXT(H130,"yyyy-mm-dd")&amp;" | "&amp;A130&amp;" | "&amp;E130&amp;" v "&amp;G130&amp;" | "&amp;K130)</x:f>
      </x:c>
      <x:c r="N130" s="38" t="str">
        <x:f>IF(A130="","",IF(AND(L130="Scheduled",D130&lt;&gt;"TBD",F130&lt;&gt;"TBD",E130&lt;&gt;"",G130&lt;&gt;"",D130&lt;&gt;F130,J130&lt;&gt;"",K130&lt;&gt;""),"Yes","No"))</x:f>
      </x:c>
      <x:c r="O130" s="38" t="str">
        <x:f>IF(A130="","",IF(COUNTIF($A$5:$A$204,A130)&gt;1,"Duplicate Match ID",IF(OR(D130="",F130="",J130=""),"Missing fixture field",IF(OR(D130="TBD",F130="TBD",E130="",G130=""),"Unresolved placeholder fixture",IF(D130=F130,"Home and away same",IF(K130="","Missing venue display","OK"))))))</x:f>
      </x:c>
    </x:row>
    <x:row r="131" ht="15" hidden="0" customHeight="1">
      <x:c r="A131" s="38"/>
      <x:c r="B131" s="38"/>
      <x:c r="C131" s="38"/>
      <x:c r="D131" s="38"/>
      <x:c r="E131" s="38" t="str">
        <x:f>IFERROR(XLOOKUP(D131,Teams!$A$5:$A$36,Teams!$C$5:$C$36,""),D131)</x:f>
      </x:c>
      <x:c r="F131" s="38"/>
      <x:c r="G131" s="38" t="str">
        <x:f>IFERROR(XLOOKUP(F131,Teams!$A$5:$A$36,Teams!$C$5:$C$36,""),F131)</x:f>
      </x:c>
      <x:c r="H131" s="60"/>
      <x:c r="I131" s="38"/>
      <x:c r="J131" s="38"/>
      <x:c r="K131" s="38" t="str">
        <x:f>IFERROR(XLOOKUP(J131,Venues!$A$5:$A$24,Venues!$B$5:$B$24,""),"")</x:f>
      </x:c>
      <x:c r="L131" s="38"/>
      <x:c r="M131" s="38" t="str">
        <x:f>IF(A131="","",TEXT(H131,"yyyy-mm-dd")&amp;" | "&amp;A131&amp;" | "&amp;E131&amp;" v "&amp;G131&amp;" | "&amp;K131)</x:f>
      </x:c>
      <x:c r="N131" s="38" t="str">
        <x:f>IF(A131="","",IF(AND(L131="Scheduled",D131&lt;&gt;"TBD",F131&lt;&gt;"TBD",E131&lt;&gt;"",G131&lt;&gt;"",D131&lt;&gt;F131,J131&lt;&gt;"",K131&lt;&gt;""),"Yes","No"))</x:f>
      </x:c>
      <x:c r="O131" s="38" t="str">
        <x:f>IF(A131="","",IF(COUNTIF($A$5:$A$204,A131)&gt;1,"Duplicate Match ID",IF(OR(D131="",F131="",J131=""),"Missing fixture field",IF(OR(D131="TBD",F131="TBD",E131="",G131=""),"Unresolved placeholder fixture",IF(D131=F131,"Home and away same",IF(K131="","Missing venue display","OK"))))))</x:f>
      </x:c>
    </x:row>
    <x:row r="132" ht="15" hidden="0" customHeight="1">
      <x:c r="A132" s="38"/>
      <x:c r="B132" s="38"/>
      <x:c r="C132" s="38"/>
      <x:c r="D132" s="38"/>
      <x:c r="E132" s="38" t="str">
        <x:f>IFERROR(XLOOKUP(D132,Teams!$A$5:$A$36,Teams!$C$5:$C$36,""),D132)</x:f>
      </x:c>
      <x:c r="F132" s="38"/>
      <x:c r="G132" s="38" t="str">
        <x:f>IFERROR(XLOOKUP(F132,Teams!$A$5:$A$36,Teams!$C$5:$C$36,""),F132)</x:f>
      </x:c>
      <x:c r="H132" s="60"/>
      <x:c r="I132" s="38"/>
      <x:c r="J132" s="38"/>
      <x:c r="K132" s="38" t="str">
        <x:f>IFERROR(XLOOKUP(J132,Venues!$A$5:$A$24,Venues!$B$5:$B$24,""),"")</x:f>
      </x:c>
      <x:c r="L132" s="38"/>
      <x:c r="M132" s="38" t="str">
        <x:f>IF(A132="","",TEXT(H132,"yyyy-mm-dd")&amp;" | "&amp;A132&amp;" | "&amp;E132&amp;" v "&amp;G132&amp;" | "&amp;K132)</x:f>
      </x:c>
      <x:c r="N132" s="38" t="str">
        <x:f>IF(A132="","",IF(AND(L132="Scheduled",D132&lt;&gt;"TBD",F132&lt;&gt;"TBD",E132&lt;&gt;"",G132&lt;&gt;"",D132&lt;&gt;F132,J132&lt;&gt;"",K132&lt;&gt;""),"Yes","No"))</x:f>
      </x:c>
      <x:c r="O132" s="38" t="str">
        <x:f>IF(A132="","",IF(COUNTIF($A$5:$A$204,A132)&gt;1,"Duplicate Match ID",IF(OR(D132="",F132="",J132=""),"Missing fixture field",IF(OR(D132="TBD",F132="TBD",E132="",G132=""),"Unresolved placeholder fixture",IF(D132=F132,"Home and away same",IF(K132="","Missing venue display","OK"))))))</x:f>
      </x:c>
    </x:row>
    <x:row r="133" ht="15" hidden="0" customHeight="1">
      <x:c r="A133" s="38"/>
      <x:c r="B133" s="38"/>
      <x:c r="C133" s="38"/>
      <x:c r="D133" s="38"/>
      <x:c r="E133" s="38" t="str">
        <x:f>IFERROR(XLOOKUP(D133,Teams!$A$5:$A$36,Teams!$C$5:$C$36,""),D133)</x:f>
      </x:c>
      <x:c r="F133" s="38"/>
      <x:c r="G133" s="38" t="str">
        <x:f>IFERROR(XLOOKUP(F133,Teams!$A$5:$A$36,Teams!$C$5:$C$36,""),F133)</x:f>
      </x:c>
      <x:c r="H133" s="60"/>
      <x:c r="I133" s="38"/>
      <x:c r="J133" s="38"/>
      <x:c r="K133" s="38" t="str">
        <x:f>IFERROR(XLOOKUP(J133,Venues!$A$5:$A$24,Venues!$B$5:$B$24,""),"")</x:f>
      </x:c>
      <x:c r="L133" s="38"/>
      <x:c r="M133" s="38" t="str">
        <x:f>IF(A133="","",TEXT(H133,"yyyy-mm-dd")&amp;" | "&amp;A133&amp;" | "&amp;E133&amp;" v "&amp;G133&amp;" | "&amp;K133)</x:f>
      </x:c>
      <x:c r="N133" s="38" t="str">
        <x:f>IF(A133="","",IF(AND(L133="Scheduled",D133&lt;&gt;"TBD",F133&lt;&gt;"TBD",E133&lt;&gt;"",G133&lt;&gt;"",D133&lt;&gt;F133,J133&lt;&gt;"",K133&lt;&gt;""),"Yes","No"))</x:f>
      </x:c>
      <x:c r="O133" s="38" t="str">
        <x:f>IF(A133="","",IF(COUNTIF($A$5:$A$204,A133)&gt;1,"Duplicate Match ID",IF(OR(D133="",F133="",J133=""),"Missing fixture field",IF(OR(D133="TBD",F133="TBD",E133="",G133=""),"Unresolved placeholder fixture",IF(D133=F133,"Home and away same",IF(K133="","Missing venue display","OK"))))))</x:f>
      </x:c>
    </x:row>
    <x:row r="134" ht="15" hidden="0" customHeight="1">
      <x:c r="A134" s="38"/>
      <x:c r="B134" s="38"/>
      <x:c r="C134" s="38"/>
      <x:c r="D134" s="38"/>
      <x:c r="E134" s="38" t="str">
        <x:f>IFERROR(XLOOKUP(D134,Teams!$A$5:$A$36,Teams!$C$5:$C$36,""),D134)</x:f>
      </x:c>
      <x:c r="F134" s="38"/>
      <x:c r="G134" s="38" t="str">
        <x:f>IFERROR(XLOOKUP(F134,Teams!$A$5:$A$36,Teams!$C$5:$C$36,""),F134)</x:f>
      </x:c>
      <x:c r="H134" s="60"/>
      <x:c r="I134" s="38"/>
      <x:c r="J134" s="38"/>
      <x:c r="K134" s="38" t="str">
        <x:f>IFERROR(XLOOKUP(J134,Venues!$A$5:$A$24,Venues!$B$5:$B$24,""),"")</x:f>
      </x:c>
      <x:c r="L134" s="38"/>
      <x:c r="M134" s="38" t="str">
        <x:f>IF(A134="","",TEXT(H134,"yyyy-mm-dd")&amp;" | "&amp;A134&amp;" | "&amp;E134&amp;" v "&amp;G134&amp;" | "&amp;K134)</x:f>
      </x:c>
      <x:c r="N134" s="38" t="str">
        <x:f>IF(A134="","",IF(AND(L134="Scheduled",D134&lt;&gt;"TBD",F134&lt;&gt;"TBD",E134&lt;&gt;"",G134&lt;&gt;"",D134&lt;&gt;F134,J134&lt;&gt;"",K134&lt;&gt;""),"Yes","No"))</x:f>
      </x:c>
      <x:c r="O134" s="38" t="str">
        <x:f>IF(A134="","",IF(COUNTIF($A$5:$A$204,A134)&gt;1,"Duplicate Match ID",IF(OR(D134="",F134="",J134=""),"Missing fixture field",IF(OR(D134="TBD",F134="TBD",E134="",G134=""),"Unresolved placeholder fixture",IF(D134=F134,"Home and away same",IF(K134="","Missing venue display","OK"))))))</x:f>
      </x:c>
    </x:row>
    <x:row r="135" ht="15" hidden="0" customHeight="1">
      <x:c r="A135" s="38"/>
      <x:c r="B135" s="38"/>
      <x:c r="C135" s="38"/>
      <x:c r="D135" s="38"/>
      <x:c r="E135" s="38" t="str">
        <x:f>IFERROR(XLOOKUP(D135,Teams!$A$5:$A$36,Teams!$C$5:$C$36,""),D135)</x:f>
      </x:c>
      <x:c r="F135" s="38"/>
      <x:c r="G135" s="38" t="str">
        <x:f>IFERROR(XLOOKUP(F135,Teams!$A$5:$A$36,Teams!$C$5:$C$36,""),F135)</x:f>
      </x:c>
      <x:c r="H135" s="60"/>
      <x:c r="I135" s="38"/>
      <x:c r="J135" s="38"/>
      <x:c r="K135" s="38" t="str">
        <x:f>IFERROR(XLOOKUP(J135,Venues!$A$5:$A$24,Venues!$B$5:$B$24,""),"")</x:f>
      </x:c>
      <x:c r="L135" s="38"/>
      <x:c r="M135" s="38" t="str">
        <x:f>IF(A135="","",TEXT(H135,"yyyy-mm-dd")&amp;" | "&amp;A135&amp;" | "&amp;E135&amp;" v "&amp;G135&amp;" | "&amp;K135)</x:f>
      </x:c>
      <x:c r="N135" s="38" t="str">
        <x:f>IF(A135="","",IF(AND(L135="Scheduled",D135&lt;&gt;"TBD",F135&lt;&gt;"TBD",E135&lt;&gt;"",G135&lt;&gt;"",D135&lt;&gt;F135,J135&lt;&gt;"",K135&lt;&gt;""),"Yes","No"))</x:f>
      </x:c>
      <x:c r="O135" s="38" t="str">
        <x:f>IF(A135="","",IF(COUNTIF($A$5:$A$204,A135)&gt;1,"Duplicate Match ID",IF(OR(D135="",F135="",J135=""),"Missing fixture field",IF(OR(D135="TBD",F135="TBD",E135="",G135=""),"Unresolved placeholder fixture",IF(D135=F135,"Home and away same",IF(K135="","Missing venue display","OK"))))))</x:f>
      </x:c>
    </x:row>
    <x:row r="136" ht="15" hidden="0" customHeight="1">
      <x:c r="A136" s="38"/>
      <x:c r="B136" s="38"/>
      <x:c r="C136" s="38"/>
      <x:c r="D136" s="38"/>
      <x:c r="E136" s="38" t="str">
        <x:f>IFERROR(XLOOKUP(D136,Teams!$A$5:$A$36,Teams!$C$5:$C$36,""),D136)</x:f>
      </x:c>
      <x:c r="F136" s="38"/>
      <x:c r="G136" s="38" t="str">
        <x:f>IFERROR(XLOOKUP(F136,Teams!$A$5:$A$36,Teams!$C$5:$C$36,""),F136)</x:f>
      </x:c>
      <x:c r="H136" s="60"/>
      <x:c r="I136" s="38"/>
      <x:c r="J136" s="38"/>
      <x:c r="K136" s="38" t="str">
        <x:f>IFERROR(XLOOKUP(J136,Venues!$A$5:$A$24,Venues!$B$5:$B$24,""),"")</x:f>
      </x:c>
      <x:c r="L136" s="38"/>
      <x:c r="M136" s="38" t="str">
        <x:f>IF(A136="","",TEXT(H136,"yyyy-mm-dd")&amp;" | "&amp;A136&amp;" | "&amp;E136&amp;" v "&amp;G136&amp;" | "&amp;K136)</x:f>
      </x:c>
      <x:c r="N136" s="38" t="str">
        <x:f>IF(A136="","",IF(AND(L136="Scheduled",D136&lt;&gt;"TBD",F136&lt;&gt;"TBD",E136&lt;&gt;"",G136&lt;&gt;"",D136&lt;&gt;F136,J136&lt;&gt;"",K136&lt;&gt;""),"Yes","No"))</x:f>
      </x:c>
      <x:c r="O136" s="38" t="str">
        <x:f>IF(A136="","",IF(COUNTIF($A$5:$A$204,A136)&gt;1,"Duplicate Match ID",IF(OR(D136="",F136="",J136=""),"Missing fixture field",IF(OR(D136="TBD",F136="TBD",E136="",G136=""),"Unresolved placeholder fixture",IF(D136=F136,"Home and away same",IF(K136="","Missing venue display","OK"))))))</x:f>
      </x:c>
    </x:row>
    <x:row r="137" ht="15" hidden="0" customHeight="1">
      <x:c r="A137" s="38"/>
      <x:c r="B137" s="38"/>
      <x:c r="C137" s="38"/>
      <x:c r="D137" s="38"/>
      <x:c r="E137" s="38" t="str">
        <x:f>IFERROR(XLOOKUP(D137,Teams!$A$5:$A$36,Teams!$C$5:$C$36,""),D137)</x:f>
      </x:c>
      <x:c r="F137" s="38"/>
      <x:c r="G137" s="38" t="str">
        <x:f>IFERROR(XLOOKUP(F137,Teams!$A$5:$A$36,Teams!$C$5:$C$36,""),F137)</x:f>
      </x:c>
      <x:c r="H137" s="60"/>
      <x:c r="I137" s="38"/>
      <x:c r="J137" s="38"/>
      <x:c r="K137" s="38" t="str">
        <x:f>IFERROR(XLOOKUP(J137,Venues!$A$5:$A$24,Venues!$B$5:$B$24,""),"")</x:f>
      </x:c>
      <x:c r="L137" s="38"/>
      <x:c r="M137" s="38" t="str">
        <x:f>IF(A137="","",TEXT(H137,"yyyy-mm-dd")&amp;" | "&amp;A137&amp;" | "&amp;E137&amp;" v "&amp;G137&amp;" | "&amp;K137)</x:f>
      </x:c>
      <x:c r="N137" s="38" t="str">
        <x:f>IF(A137="","",IF(AND(L137="Scheduled",D137&lt;&gt;"TBD",F137&lt;&gt;"TBD",E137&lt;&gt;"",G137&lt;&gt;"",D137&lt;&gt;F137,J137&lt;&gt;"",K137&lt;&gt;""),"Yes","No"))</x:f>
      </x:c>
      <x:c r="O137" s="38" t="str">
        <x:f>IF(A137="","",IF(COUNTIF($A$5:$A$204,A137)&gt;1,"Duplicate Match ID",IF(OR(D137="",F137="",J137=""),"Missing fixture field",IF(OR(D137="TBD",F137="TBD",E137="",G137=""),"Unresolved placeholder fixture",IF(D137=F137,"Home and away same",IF(K137="","Missing venue display","OK"))))))</x:f>
      </x:c>
    </x:row>
    <x:row r="138" ht="15" hidden="0" customHeight="1">
      <x:c r="A138" s="38"/>
      <x:c r="B138" s="38"/>
      <x:c r="C138" s="38"/>
      <x:c r="D138" s="38"/>
      <x:c r="E138" s="38" t="str">
        <x:f>IFERROR(XLOOKUP(D138,Teams!$A$5:$A$36,Teams!$C$5:$C$36,""),D138)</x:f>
      </x:c>
      <x:c r="F138" s="38"/>
      <x:c r="G138" s="38" t="str">
        <x:f>IFERROR(XLOOKUP(F138,Teams!$A$5:$A$36,Teams!$C$5:$C$36,""),F138)</x:f>
      </x:c>
      <x:c r="H138" s="60"/>
      <x:c r="I138" s="38"/>
      <x:c r="J138" s="38"/>
      <x:c r="K138" s="38" t="str">
        <x:f>IFERROR(XLOOKUP(J138,Venues!$A$5:$A$24,Venues!$B$5:$B$24,""),"")</x:f>
      </x:c>
      <x:c r="L138" s="38"/>
      <x:c r="M138" s="38" t="str">
        <x:f>IF(A138="","",TEXT(H138,"yyyy-mm-dd")&amp;" | "&amp;A138&amp;" | "&amp;E138&amp;" v "&amp;G138&amp;" | "&amp;K138)</x:f>
      </x:c>
      <x:c r="N138" s="38" t="str">
        <x:f>IF(A138="","",IF(AND(L138="Scheduled",D138&lt;&gt;"TBD",F138&lt;&gt;"TBD",E138&lt;&gt;"",G138&lt;&gt;"",D138&lt;&gt;F138,J138&lt;&gt;"",K138&lt;&gt;""),"Yes","No"))</x:f>
      </x:c>
      <x:c r="O138" s="38" t="str">
        <x:f>IF(A138="","",IF(COUNTIF($A$5:$A$204,A138)&gt;1,"Duplicate Match ID",IF(OR(D138="",F138="",J138=""),"Missing fixture field",IF(OR(D138="TBD",F138="TBD",E138="",G138=""),"Unresolved placeholder fixture",IF(D138=F138,"Home and away same",IF(K138="","Missing venue display","OK"))))))</x:f>
      </x:c>
    </x:row>
    <x:row r="139" ht="15" hidden="0" customHeight="1">
      <x:c r="A139" s="38"/>
      <x:c r="B139" s="38"/>
      <x:c r="C139" s="38"/>
      <x:c r="D139" s="38"/>
      <x:c r="E139" s="38" t="str">
        <x:f>IFERROR(XLOOKUP(D139,Teams!$A$5:$A$36,Teams!$C$5:$C$36,""),D139)</x:f>
      </x:c>
      <x:c r="F139" s="38"/>
      <x:c r="G139" s="38" t="str">
        <x:f>IFERROR(XLOOKUP(F139,Teams!$A$5:$A$36,Teams!$C$5:$C$36,""),F139)</x:f>
      </x:c>
      <x:c r="H139" s="60"/>
      <x:c r="I139" s="38"/>
      <x:c r="J139" s="38"/>
      <x:c r="K139" s="38" t="str">
        <x:f>IFERROR(XLOOKUP(J139,Venues!$A$5:$A$24,Venues!$B$5:$B$24,""),"")</x:f>
      </x:c>
      <x:c r="L139" s="38"/>
      <x:c r="M139" s="38" t="str">
        <x:f>IF(A139="","",TEXT(H139,"yyyy-mm-dd")&amp;" | "&amp;A139&amp;" | "&amp;E139&amp;" v "&amp;G139&amp;" | "&amp;K139)</x:f>
      </x:c>
      <x:c r="N139" s="38" t="str">
        <x:f>IF(A139="","",IF(AND(L139="Scheduled",D139&lt;&gt;"TBD",F139&lt;&gt;"TBD",E139&lt;&gt;"",G139&lt;&gt;"",D139&lt;&gt;F139,J139&lt;&gt;"",K139&lt;&gt;""),"Yes","No"))</x:f>
      </x:c>
      <x:c r="O139" s="38" t="str">
        <x:f>IF(A139="","",IF(COUNTIF($A$5:$A$204,A139)&gt;1,"Duplicate Match ID",IF(OR(D139="",F139="",J139=""),"Missing fixture field",IF(OR(D139="TBD",F139="TBD",E139="",G139=""),"Unresolved placeholder fixture",IF(D139=F139,"Home and away same",IF(K139="","Missing venue display","OK"))))))</x:f>
      </x:c>
    </x:row>
    <x:row r="140" ht="15" hidden="0" customHeight="1">
      <x:c r="A140" s="38"/>
      <x:c r="B140" s="38"/>
      <x:c r="C140" s="38"/>
      <x:c r="D140" s="38"/>
      <x:c r="E140" s="38" t="str">
        <x:f>IFERROR(XLOOKUP(D140,Teams!$A$5:$A$36,Teams!$C$5:$C$36,""),D140)</x:f>
      </x:c>
      <x:c r="F140" s="38"/>
      <x:c r="G140" s="38" t="str">
        <x:f>IFERROR(XLOOKUP(F140,Teams!$A$5:$A$36,Teams!$C$5:$C$36,""),F140)</x:f>
      </x:c>
      <x:c r="H140" s="60"/>
      <x:c r="I140" s="38"/>
      <x:c r="J140" s="38"/>
      <x:c r="K140" s="38" t="str">
        <x:f>IFERROR(XLOOKUP(J140,Venues!$A$5:$A$24,Venues!$B$5:$B$24,""),"")</x:f>
      </x:c>
      <x:c r="L140" s="38"/>
      <x:c r="M140" s="38" t="str">
        <x:f>IF(A140="","",TEXT(H140,"yyyy-mm-dd")&amp;" | "&amp;A140&amp;" | "&amp;E140&amp;" v "&amp;G140&amp;" | "&amp;K140)</x:f>
      </x:c>
      <x:c r="N140" s="38" t="str">
        <x:f>IF(A140="","",IF(AND(L140="Scheduled",D140&lt;&gt;"TBD",F140&lt;&gt;"TBD",E140&lt;&gt;"",G140&lt;&gt;"",D140&lt;&gt;F140,J140&lt;&gt;"",K140&lt;&gt;""),"Yes","No"))</x:f>
      </x:c>
      <x:c r="O140" s="38" t="str">
        <x:f>IF(A140="","",IF(COUNTIF($A$5:$A$204,A140)&gt;1,"Duplicate Match ID",IF(OR(D140="",F140="",J140=""),"Missing fixture field",IF(OR(D140="TBD",F140="TBD",E140="",G140=""),"Unresolved placeholder fixture",IF(D140=F140,"Home and away same",IF(K140="","Missing venue display","OK"))))))</x:f>
      </x:c>
    </x:row>
    <x:row r="141" ht="15" hidden="0" customHeight="1">
      <x:c r="A141" s="38"/>
      <x:c r="B141" s="38"/>
      <x:c r="C141" s="38"/>
      <x:c r="D141" s="38"/>
      <x:c r="E141" s="38" t="str">
        <x:f>IFERROR(XLOOKUP(D141,Teams!$A$5:$A$36,Teams!$C$5:$C$36,""),D141)</x:f>
      </x:c>
      <x:c r="F141" s="38"/>
      <x:c r="G141" s="38" t="str">
        <x:f>IFERROR(XLOOKUP(F141,Teams!$A$5:$A$36,Teams!$C$5:$C$36,""),F141)</x:f>
      </x:c>
      <x:c r="H141" s="60"/>
      <x:c r="I141" s="38"/>
      <x:c r="J141" s="38"/>
      <x:c r="K141" s="38" t="str">
        <x:f>IFERROR(XLOOKUP(J141,Venues!$A$5:$A$24,Venues!$B$5:$B$24,""),"")</x:f>
      </x:c>
      <x:c r="L141" s="38"/>
      <x:c r="M141" s="38" t="str">
        <x:f>IF(A141="","",TEXT(H141,"yyyy-mm-dd")&amp;" | "&amp;A141&amp;" | "&amp;E141&amp;" v "&amp;G141&amp;" | "&amp;K141)</x:f>
      </x:c>
      <x:c r="N141" s="38" t="str">
        <x:f>IF(A141="","",IF(AND(L141="Scheduled",D141&lt;&gt;"TBD",F141&lt;&gt;"TBD",E141&lt;&gt;"",G141&lt;&gt;"",D141&lt;&gt;F141,J141&lt;&gt;"",K141&lt;&gt;""),"Yes","No"))</x:f>
      </x:c>
      <x:c r="O141" s="38" t="str">
        <x:f>IF(A141="","",IF(COUNTIF($A$5:$A$204,A141)&gt;1,"Duplicate Match ID",IF(OR(D141="",F141="",J141=""),"Missing fixture field",IF(OR(D141="TBD",F141="TBD",E141="",G141=""),"Unresolved placeholder fixture",IF(D141=F141,"Home and away same",IF(K141="","Missing venue display","OK"))))))</x:f>
      </x:c>
    </x:row>
    <x:row r="142" ht="15" hidden="0" customHeight="1">
      <x:c r="A142" s="38"/>
      <x:c r="B142" s="38"/>
      <x:c r="C142" s="38"/>
      <x:c r="D142" s="38"/>
      <x:c r="E142" s="38" t="str">
        <x:f>IFERROR(XLOOKUP(D142,Teams!$A$5:$A$36,Teams!$C$5:$C$36,""),D142)</x:f>
      </x:c>
      <x:c r="F142" s="38"/>
      <x:c r="G142" s="38" t="str">
        <x:f>IFERROR(XLOOKUP(F142,Teams!$A$5:$A$36,Teams!$C$5:$C$36,""),F142)</x:f>
      </x:c>
      <x:c r="H142" s="60"/>
      <x:c r="I142" s="38"/>
      <x:c r="J142" s="38"/>
      <x:c r="K142" s="38" t="str">
        <x:f>IFERROR(XLOOKUP(J142,Venues!$A$5:$A$24,Venues!$B$5:$B$24,""),"")</x:f>
      </x:c>
      <x:c r="L142" s="38"/>
      <x:c r="M142" s="38" t="str">
        <x:f>IF(A142="","",TEXT(H142,"yyyy-mm-dd")&amp;" | "&amp;A142&amp;" | "&amp;E142&amp;" v "&amp;G142&amp;" | "&amp;K142)</x:f>
      </x:c>
      <x:c r="N142" s="38" t="str">
        <x:f>IF(A142="","",IF(AND(L142="Scheduled",D142&lt;&gt;"TBD",F142&lt;&gt;"TBD",E142&lt;&gt;"",G142&lt;&gt;"",D142&lt;&gt;F142,J142&lt;&gt;"",K142&lt;&gt;""),"Yes","No"))</x:f>
      </x:c>
      <x:c r="O142" s="38" t="str">
        <x:f>IF(A142="","",IF(COUNTIF($A$5:$A$204,A142)&gt;1,"Duplicate Match ID",IF(OR(D142="",F142="",J142=""),"Missing fixture field",IF(OR(D142="TBD",F142="TBD",E142="",G142=""),"Unresolved placeholder fixture",IF(D142=F142,"Home and away same",IF(K142="","Missing venue display","OK"))))))</x:f>
      </x:c>
    </x:row>
    <x:row r="143" ht="15" hidden="0" customHeight="1">
      <x:c r="A143" s="38"/>
      <x:c r="B143" s="38"/>
      <x:c r="C143" s="38"/>
      <x:c r="D143" s="38"/>
      <x:c r="E143" s="38" t="str">
        <x:f>IFERROR(XLOOKUP(D143,Teams!$A$5:$A$36,Teams!$C$5:$C$36,""),D143)</x:f>
      </x:c>
      <x:c r="F143" s="38"/>
      <x:c r="G143" s="38" t="str">
        <x:f>IFERROR(XLOOKUP(F143,Teams!$A$5:$A$36,Teams!$C$5:$C$36,""),F143)</x:f>
      </x:c>
      <x:c r="H143" s="60"/>
      <x:c r="I143" s="38"/>
      <x:c r="J143" s="38"/>
      <x:c r="K143" s="38" t="str">
        <x:f>IFERROR(XLOOKUP(J143,Venues!$A$5:$A$24,Venues!$B$5:$B$24,""),"")</x:f>
      </x:c>
      <x:c r="L143" s="38"/>
      <x:c r="M143" s="38" t="str">
        <x:f>IF(A143="","",TEXT(H143,"yyyy-mm-dd")&amp;" | "&amp;A143&amp;" | "&amp;E143&amp;" v "&amp;G143&amp;" | "&amp;K143)</x:f>
      </x:c>
      <x:c r="N143" s="38" t="str">
        <x:f>IF(A143="","",IF(AND(L143="Scheduled",D143&lt;&gt;"TBD",F143&lt;&gt;"TBD",E143&lt;&gt;"",G143&lt;&gt;"",D143&lt;&gt;F143,J143&lt;&gt;"",K143&lt;&gt;""),"Yes","No"))</x:f>
      </x:c>
      <x:c r="O143" s="38" t="str">
        <x:f>IF(A143="","",IF(COUNTIF($A$5:$A$204,A143)&gt;1,"Duplicate Match ID",IF(OR(D143="",F143="",J143=""),"Missing fixture field",IF(OR(D143="TBD",F143="TBD",E143="",G143=""),"Unresolved placeholder fixture",IF(D143=F143,"Home and away same",IF(K143="","Missing venue display","OK"))))))</x:f>
      </x:c>
    </x:row>
    <x:row r="144" ht="15" hidden="0" customHeight="1">
      <x:c r="A144" s="38"/>
      <x:c r="B144" s="38"/>
      <x:c r="C144" s="38"/>
      <x:c r="D144" s="38"/>
      <x:c r="E144" s="38" t="str">
        <x:f>IFERROR(XLOOKUP(D144,Teams!$A$5:$A$36,Teams!$C$5:$C$36,""),D144)</x:f>
      </x:c>
      <x:c r="F144" s="38"/>
      <x:c r="G144" s="38" t="str">
        <x:f>IFERROR(XLOOKUP(F144,Teams!$A$5:$A$36,Teams!$C$5:$C$36,""),F144)</x:f>
      </x:c>
      <x:c r="H144" s="60"/>
      <x:c r="I144" s="38"/>
      <x:c r="J144" s="38"/>
      <x:c r="K144" s="38" t="str">
        <x:f>IFERROR(XLOOKUP(J144,Venues!$A$5:$A$24,Venues!$B$5:$B$24,""),"")</x:f>
      </x:c>
      <x:c r="L144" s="38"/>
      <x:c r="M144" s="38" t="str">
        <x:f>IF(A144="","",TEXT(H144,"yyyy-mm-dd")&amp;" | "&amp;A144&amp;" | "&amp;E144&amp;" v "&amp;G144&amp;" | "&amp;K144)</x:f>
      </x:c>
      <x:c r="N144" s="38" t="str">
        <x:f>IF(A144="","",IF(AND(L144="Scheduled",D144&lt;&gt;"TBD",F144&lt;&gt;"TBD",E144&lt;&gt;"",G144&lt;&gt;"",D144&lt;&gt;F144,J144&lt;&gt;"",K144&lt;&gt;""),"Yes","No"))</x:f>
      </x:c>
      <x:c r="O144" s="38" t="str">
        <x:f>IF(A144="","",IF(COUNTIF($A$5:$A$204,A144)&gt;1,"Duplicate Match ID",IF(OR(D144="",F144="",J144=""),"Missing fixture field",IF(OR(D144="TBD",F144="TBD",E144="",G144=""),"Unresolved placeholder fixture",IF(D144=F144,"Home and away same",IF(K144="","Missing venue display","OK"))))))</x:f>
      </x:c>
    </x:row>
    <x:row r="145" ht="15" hidden="0" customHeight="1">
      <x:c r="A145" s="38"/>
      <x:c r="B145" s="38"/>
      <x:c r="C145" s="38"/>
      <x:c r="D145" s="38"/>
      <x:c r="E145" s="38" t="str">
        <x:f>IFERROR(XLOOKUP(D145,Teams!$A$5:$A$36,Teams!$C$5:$C$36,""),D145)</x:f>
      </x:c>
      <x:c r="F145" s="38"/>
      <x:c r="G145" s="38" t="str">
        <x:f>IFERROR(XLOOKUP(F145,Teams!$A$5:$A$36,Teams!$C$5:$C$36,""),F145)</x:f>
      </x:c>
      <x:c r="H145" s="60"/>
      <x:c r="I145" s="38"/>
      <x:c r="J145" s="38"/>
      <x:c r="K145" s="38" t="str">
        <x:f>IFERROR(XLOOKUP(J145,Venues!$A$5:$A$24,Venues!$B$5:$B$24,""),"")</x:f>
      </x:c>
      <x:c r="L145" s="38"/>
      <x:c r="M145" s="38" t="str">
        <x:f>IF(A145="","",TEXT(H145,"yyyy-mm-dd")&amp;" | "&amp;A145&amp;" | "&amp;E145&amp;" v "&amp;G145&amp;" | "&amp;K145)</x:f>
      </x:c>
      <x:c r="N145" s="38" t="str">
        <x:f>IF(A145="","",IF(AND(L145="Scheduled",D145&lt;&gt;"TBD",F145&lt;&gt;"TBD",E145&lt;&gt;"",G145&lt;&gt;"",D145&lt;&gt;F145,J145&lt;&gt;"",K145&lt;&gt;""),"Yes","No"))</x:f>
      </x:c>
      <x:c r="O145" s="38" t="str">
        <x:f>IF(A145="","",IF(COUNTIF($A$5:$A$204,A145)&gt;1,"Duplicate Match ID",IF(OR(D145="",F145="",J145=""),"Missing fixture field",IF(OR(D145="TBD",F145="TBD",E145="",G145=""),"Unresolved placeholder fixture",IF(D145=F145,"Home and away same",IF(K145="","Missing venue display","OK"))))))</x:f>
      </x:c>
    </x:row>
    <x:row r="146" ht="15" hidden="0" customHeight="1">
      <x:c r="A146" s="38"/>
      <x:c r="B146" s="38"/>
      <x:c r="C146" s="38"/>
      <x:c r="D146" s="38"/>
      <x:c r="E146" s="38" t="str">
        <x:f>IFERROR(XLOOKUP(D146,Teams!$A$5:$A$36,Teams!$C$5:$C$36,""),D146)</x:f>
      </x:c>
      <x:c r="F146" s="38"/>
      <x:c r="G146" s="38" t="str">
        <x:f>IFERROR(XLOOKUP(F146,Teams!$A$5:$A$36,Teams!$C$5:$C$36,""),F146)</x:f>
      </x:c>
      <x:c r="H146" s="60"/>
      <x:c r="I146" s="38"/>
      <x:c r="J146" s="38"/>
      <x:c r="K146" s="38" t="str">
        <x:f>IFERROR(XLOOKUP(J146,Venues!$A$5:$A$24,Venues!$B$5:$B$24,""),"")</x:f>
      </x:c>
      <x:c r="L146" s="38"/>
      <x:c r="M146" s="38" t="str">
        <x:f>IF(A146="","",TEXT(H146,"yyyy-mm-dd")&amp;" | "&amp;A146&amp;" | "&amp;E146&amp;" v "&amp;G146&amp;" | "&amp;K146)</x:f>
      </x:c>
      <x:c r="N146" s="38" t="str">
        <x:f>IF(A146="","",IF(AND(L146="Scheduled",D146&lt;&gt;"TBD",F146&lt;&gt;"TBD",E146&lt;&gt;"",G146&lt;&gt;"",D146&lt;&gt;F146,J146&lt;&gt;"",K146&lt;&gt;""),"Yes","No"))</x:f>
      </x:c>
      <x:c r="O146" s="38" t="str">
        <x:f>IF(A146="","",IF(COUNTIF($A$5:$A$204,A146)&gt;1,"Duplicate Match ID",IF(OR(D146="",F146="",J146=""),"Missing fixture field",IF(OR(D146="TBD",F146="TBD",E146="",G146=""),"Unresolved placeholder fixture",IF(D146=F146,"Home and away same",IF(K146="","Missing venue display","OK"))))))</x:f>
      </x:c>
    </x:row>
    <x:row r="147" ht="15" hidden="0" customHeight="1">
      <x:c r="A147" s="38"/>
      <x:c r="B147" s="38"/>
      <x:c r="C147" s="38"/>
      <x:c r="D147" s="38"/>
      <x:c r="E147" s="38" t="str">
        <x:f>IFERROR(XLOOKUP(D147,Teams!$A$5:$A$36,Teams!$C$5:$C$36,""),D147)</x:f>
      </x:c>
      <x:c r="F147" s="38"/>
      <x:c r="G147" s="38" t="str">
        <x:f>IFERROR(XLOOKUP(F147,Teams!$A$5:$A$36,Teams!$C$5:$C$36,""),F147)</x:f>
      </x:c>
      <x:c r="H147" s="60"/>
      <x:c r="I147" s="38"/>
      <x:c r="J147" s="38"/>
      <x:c r="K147" s="38" t="str">
        <x:f>IFERROR(XLOOKUP(J147,Venues!$A$5:$A$24,Venues!$B$5:$B$24,""),"")</x:f>
      </x:c>
      <x:c r="L147" s="38"/>
      <x:c r="M147" s="38" t="str">
        <x:f>IF(A147="","",TEXT(H147,"yyyy-mm-dd")&amp;" | "&amp;A147&amp;" | "&amp;E147&amp;" v "&amp;G147&amp;" | "&amp;K147)</x:f>
      </x:c>
      <x:c r="N147" s="38" t="str">
        <x:f>IF(A147="","",IF(AND(L147="Scheduled",D147&lt;&gt;"TBD",F147&lt;&gt;"TBD",E147&lt;&gt;"",G147&lt;&gt;"",D147&lt;&gt;F147,J147&lt;&gt;"",K147&lt;&gt;""),"Yes","No"))</x:f>
      </x:c>
      <x:c r="O147" s="38" t="str">
        <x:f>IF(A147="","",IF(COUNTIF($A$5:$A$204,A147)&gt;1,"Duplicate Match ID",IF(OR(D147="",F147="",J147=""),"Missing fixture field",IF(OR(D147="TBD",F147="TBD",E147="",G147=""),"Unresolved placeholder fixture",IF(D147=F147,"Home and away same",IF(K147="","Missing venue display","OK"))))))</x:f>
      </x:c>
    </x:row>
    <x:row r="148" ht="15" hidden="0" customHeight="1">
      <x:c r="A148" s="38"/>
      <x:c r="B148" s="38"/>
      <x:c r="C148" s="38"/>
      <x:c r="D148" s="38"/>
      <x:c r="E148" s="38" t="str">
        <x:f>IFERROR(XLOOKUP(D148,Teams!$A$5:$A$36,Teams!$C$5:$C$36,""),D148)</x:f>
      </x:c>
      <x:c r="F148" s="38"/>
      <x:c r="G148" s="38" t="str">
        <x:f>IFERROR(XLOOKUP(F148,Teams!$A$5:$A$36,Teams!$C$5:$C$36,""),F148)</x:f>
      </x:c>
      <x:c r="H148" s="60"/>
      <x:c r="I148" s="38"/>
      <x:c r="J148" s="38"/>
      <x:c r="K148" s="38" t="str">
        <x:f>IFERROR(XLOOKUP(J148,Venues!$A$5:$A$24,Venues!$B$5:$B$24,""),"")</x:f>
      </x:c>
      <x:c r="L148" s="38"/>
      <x:c r="M148" s="38" t="str">
        <x:f>IF(A148="","",TEXT(H148,"yyyy-mm-dd")&amp;" | "&amp;A148&amp;" | "&amp;E148&amp;" v "&amp;G148&amp;" | "&amp;K148)</x:f>
      </x:c>
      <x:c r="N148" s="38" t="str">
        <x:f>IF(A148="","",IF(AND(L148="Scheduled",D148&lt;&gt;"TBD",F148&lt;&gt;"TBD",E148&lt;&gt;"",G148&lt;&gt;"",D148&lt;&gt;F148,J148&lt;&gt;"",K148&lt;&gt;""),"Yes","No"))</x:f>
      </x:c>
      <x:c r="O148" s="38" t="str">
        <x:f>IF(A148="","",IF(COUNTIF($A$5:$A$204,A148)&gt;1,"Duplicate Match ID",IF(OR(D148="",F148="",J148=""),"Missing fixture field",IF(OR(D148="TBD",F148="TBD",E148="",G148=""),"Unresolved placeholder fixture",IF(D148=F148,"Home and away same",IF(K148="","Missing venue display","OK"))))))</x:f>
      </x:c>
    </x:row>
    <x:row r="149" ht="15" hidden="0" customHeight="1">
      <x:c r="A149" s="38"/>
      <x:c r="B149" s="38"/>
      <x:c r="C149" s="38"/>
      <x:c r="D149" s="38"/>
      <x:c r="E149" s="38" t="str">
        <x:f>IFERROR(XLOOKUP(D149,Teams!$A$5:$A$36,Teams!$C$5:$C$36,""),D149)</x:f>
      </x:c>
      <x:c r="F149" s="38"/>
      <x:c r="G149" s="38" t="str">
        <x:f>IFERROR(XLOOKUP(F149,Teams!$A$5:$A$36,Teams!$C$5:$C$36,""),F149)</x:f>
      </x:c>
      <x:c r="H149" s="60"/>
      <x:c r="I149" s="38"/>
      <x:c r="J149" s="38"/>
      <x:c r="K149" s="38" t="str">
        <x:f>IFERROR(XLOOKUP(J149,Venues!$A$5:$A$24,Venues!$B$5:$B$24,""),"")</x:f>
      </x:c>
      <x:c r="L149" s="38"/>
      <x:c r="M149" s="38" t="str">
        <x:f>IF(A149="","",TEXT(H149,"yyyy-mm-dd")&amp;" | "&amp;A149&amp;" | "&amp;E149&amp;" v "&amp;G149&amp;" | "&amp;K149)</x:f>
      </x:c>
      <x:c r="N149" s="38" t="str">
        <x:f>IF(A149="","",IF(AND(L149="Scheduled",D149&lt;&gt;"TBD",F149&lt;&gt;"TBD",E149&lt;&gt;"",G149&lt;&gt;"",D149&lt;&gt;F149,J149&lt;&gt;"",K149&lt;&gt;""),"Yes","No"))</x:f>
      </x:c>
      <x:c r="O149" s="38" t="str">
        <x:f>IF(A149="","",IF(COUNTIF($A$5:$A$204,A149)&gt;1,"Duplicate Match ID",IF(OR(D149="",F149="",J149=""),"Missing fixture field",IF(OR(D149="TBD",F149="TBD",E149="",G149=""),"Unresolved placeholder fixture",IF(D149=F149,"Home and away same",IF(K149="","Missing venue display","OK"))))))</x:f>
      </x:c>
    </x:row>
    <x:row r="150" ht="15" hidden="0" customHeight="1">
      <x:c r="A150" s="38"/>
      <x:c r="B150" s="38"/>
      <x:c r="C150" s="38"/>
      <x:c r="D150" s="38"/>
      <x:c r="E150" s="38" t="str">
        <x:f>IFERROR(XLOOKUP(D150,Teams!$A$5:$A$36,Teams!$C$5:$C$36,""),D150)</x:f>
      </x:c>
      <x:c r="F150" s="38"/>
      <x:c r="G150" s="38" t="str">
        <x:f>IFERROR(XLOOKUP(F150,Teams!$A$5:$A$36,Teams!$C$5:$C$36,""),F150)</x:f>
      </x:c>
      <x:c r="H150" s="60"/>
      <x:c r="I150" s="38"/>
      <x:c r="J150" s="38"/>
      <x:c r="K150" s="38" t="str">
        <x:f>IFERROR(XLOOKUP(J150,Venues!$A$5:$A$24,Venues!$B$5:$B$24,""),"")</x:f>
      </x:c>
      <x:c r="L150" s="38"/>
      <x:c r="M150" s="38" t="str">
        <x:f>IF(A150="","",TEXT(H150,"yyyy-mm-dd")&amp;" | "&amp;A150&amp;" | "&amp;E150&amp;" v "&amp;G150&amp;" | "&amp;K150)</x:f>
      </x:c>
      <x:c r="N150" s="38" t="str">
        <x:f>IF(A150="","",IF(AND(L150="Scheduled",D150&lt;&gt;"TBD",F150&lt;&gt;"TBD",E150&lt;&gt;"",G150&lt;&gt;"",D150&lt;&gt;F150,J150&lt;&gt;"",K150&lt;&gt;""),"Yes","No"))</x:f>
      </x:c>
      <x:c r="O150" s="38" t="str">
        <x:f>IF(A150="","",IF(COUNTIF($A$5:$A$204,A150)&gt;1,"Duplicate Match ID",IF(OR(D150="",F150="",J150=""),"Missing fixture field",IF(OR(D150="TBD",F150="TBD",E150="",G150=""),"Unresolved placeholder fixture",IF(D150=F150,"Home and away same",IF(K150="","Missing venue display","OK"))))))</x:f>
      </x:c>
    </x:row>
    <x:row r="151" ht="15" hidden="0" customHeight="1">
      <x:c r="A151" s="38"/>
      <x:c r="B151" s="38"/>
      <x:c r="C151" s="38"/>
      <x:c r="D151" s="38"/>
      <x:c r="E151" s="38" t="str">
        <x:f>IFERROR(XLOOKUP(D151,Teams!$A$5:$A$36,Teams!$C$5:$C$36,""),D151)</x:f>
      </x:c>
      <x:c r="F151" s="38"/>
      <x:c r="G151" s="38" t="str">
        <x:f>IFERROR(XLOOKUP(F151,Teams!$A$5:$A$36,Teams!$C$5:$C$36,""),F151)</x:f>
      </x:c>
      <x:c r="H151" s="60"/>
      <x:c r="I151" s="38"/>
      <x:c r="J151" s="38"/>
      <x:c r="K151" s="38" t="str">
        <x:f>IFERROR(XLOOKUP(J151,Venues!$A$5:$A$24,Venues!$B$5:$B$24,""),"")</x:f>
      </x:c>
      <x:c r="L151" s="38"/>
      <x:c r="M151" s="38" t="str">
        <x:f>IF(A151="","",TEXT(H151,"yyyy-mm-dd")&amp;" | "&amp;A151&amp;" | "&amp;E151&amp;" v "&amp;G151&amp;" | "&amp;K151)</x:f>
      </x:c>
      <x:c r="N151" s="38" t="str">
        <x:f>IF(A151="","",IF(AND(L151="Scheduled",D151&lt;&gt;"TBD",F151&lt;&gt;"TBD",E151&lt;&gt;"",G151&lt;&gt;"",D151&lt;&gt;F151,J151&lt;&gt;"",K151&lt;&gt;""),"Yes","No"))</x:f>
      </x:c>
      <x:c r="O151" s="38" t="str">
        <x:f>IF(A151="","",IF(COUNTIF($A$5:$A$204,A151)&gt;1,"Duplicate Match ID",IF(OR(D151="",F151="",J151=""),"Missing fixture field",IF(OR(D151="TBD",F151="TBD",E151="",G151=""),"Unresolved placeholder fixture",IF(D151=F151,"Home and away same",IF(K151="","Missing venue display","OK"))))))</x:f>
      </x:c>
    </x:row>
    <x:row r="152" ht="15" hidden="0" customHeight="1">
      <x:c r="A152" s="38"/>
      <x:c r="B152" s="38"/>
      <x:c r="C152" s="38"/>
      <x:c r="D152" s="38"/>
      <x:c r="E152" s="38" t="str">
        <x:f>IFERROR(XLOOKUP(D152,Teams!$A$5:$A$36,Teams!$C$5:$C$36,""),D152)</x:f>
      </x:c>
      <x:c r="F152" s="38"/>
      <x:c r="G152" s="38" t="str">
        <x:f>IFERROR(XLOOKUP(F152,Teams!$A$5:$A$36,Teams!$C$5:$C$36,""),F152)</x:f>
      </x:c>
      <x:c r="H152" s="60"/>
      <x:c r="I152" s="38"/>
      <x:c r="J152" s="38"/>
      <x:c r="K152" s="38" t="str">
        <x:f>IFERROR(XLOOKUP(J152,Venues!$A$5:$A$24,Venues!$B$5:$B$24,""),"")</x:f>
      </x:c>
      <x:c r="L152" s="38"/>
      <x:c r="M152" s="38" t="str">
        <x:f>IF(A152="","",TEXT(H152,"yyyy-mm-dd")&amp;" | "&amp;A152&amp;" | "&amp;E152&amp;" v "&amp;G152&amp;" | "&amp;K152)</x:f>
      </x:c>
      <x:c r="N152" s="38" t="str">
        <x:f>IF(A152="","",IF(AND(L152="Scheduled",D152&lt;&gt;"TBD",F152&lt;&gt;"TBD",E152&lt;&gt;"",G152&lt;&gt;"",D152&lt;&gt;F152,J152&lt;&gt;"",K152&lt;&gt;""),"Yes","No"))</x:f>
      </x:c>
      <x:c r="O152" s="38" t="str">
        <x:f>IF(A152="","",IF(COUNTIF($A$5:$A$204,A152)&gt;1,"Duplicate Match ID",IF(OR(D152="",F152="",J152=""),"Missing fixture field",IF(OR(D152="TBD",F152="TBD",E152="",G152=""),"Unresolved placeholder fixture",IF(D152=F152,"Home and away same",IF(K152="","Missing venue display","OK"))))))</x:f>
      </x:c>
    </x:row>
    <x:row r="153" ht="15" hidden="0" customHeight="1">
      <x:c r="A153" s="38"/>
      <x:c r="B153" s="38"/>
      <x:c r="C153" s="38"/>
      <x:c r="D153" s="38"/>
      <x:c r="E153" s="38" t="str">
        <x:f>IFERROR(XLOOKUP(D153,Teams!$A$5:$A$36,Teams!$C$5:$C$36,""),D153)</x:f>
      </x:c>
      <x:c r="F153" s="38"/>
      <x:c r="G153" s="38" t="str">
        <x:f>IFERROR(XLOOKUP(F153,Teams!$A$5:$A$36,Teams!$C$5:$C$36,""),F153)</x:f>
      </x:c>
      <x:c r="H153" s="60"/>
      <x:c r="I153" s="38"/>
      <x:c r="J153" s="38"/>
      <x:c r="K153" s="38" t="str">
        <x:f>IFERROR(XLOOKUP(J153,Venues!$A$5:$A$24,Venues!$B$5:$B$24,""),"")</x:f>
      </x:c>
      <x:c r="L153" s="38"/>
      <x:c r="M153" s="38" t="str">
        <x:f>IF(A153="","",TEXT(H153,"yyyy-mm-dd")&amp;" | "&amp;A153&amp;" | "&amp;E153&amp;" v "&amp;G153&amp;" | "&amp;K153)</x:f>
      </x:c>
      <x:c r="N153" s="38" t="str">
        <x:f>IF(A153="","",IF(AND(L153="Scheduled",D153&lt;&gt;"TBD",F153&lt;&gt;"TBD",E153&lt;&gt;"",G153&lt;&gt;"",D153&lt;&gt;F153,J153&lt;&gt;"",K153&lt;&gt;""),"Yes","No"))</x:f>
      </x:c>
      <x:c r="O153" s="38" t="str">
        <x:f>IF(A153="","",IF(COUNTIF($A$5:$A$204,A153)&gt;1,"Duplicate Match ID",IF(OR(D153="",F153="",J153=""),"Missing fixture field",IF(OR(D153="TBD",F153="TBD",E153="",G153=""),"Unresolved placeholder fixture",IF(D153=F153,"Home and away same",IF(K153="","Missing venue display","OK"))))))</x:f>
      </x:c>
    </x:row>
    <x:row r="154" ht="15" hidden="0" customHeight="1">
      <x:c r="A154" s="38"/>
      <x:c r="B154" s="38"/>
      <x:c r="C154" s="38"/>
      <x:c r="D154" s="38"/>
      <x:c r="E154" s="38" t="str">
        <x:f>IFERROR(XLOOKUP(D154,Teams!$A$5:$A$36,Teams!$C$5:$C$36,""),D154)</x:f>
      </x:c>
      <x:c r="F154" s="38"/>
      <x:c r="G154" s="38" t="str">
        <x:f>IFERROR(XLOOKUP(F154,Teams!$A$5:$A$36,Teams!$C$5:$C$36,""),F154)</x:f>
      </x:c>
      <x:c r="H154" s="60"/>
      <x:c r="I154" s="38"/>
      <x:c r="J154" s="38"/>
      <x:c r="K154" s="38" t="str">
        <x:f>IFERROR(XLOOKUP(J154,Venues!$A$5:$A$24,Venues!$B$5:$B$24,""),"")</x:f>
      </x:c>
      <x:c r="L154" s="38"/>
      <x:c r="M154" s="38" t="str">
        <x:f>IF(A154="","",TEXT(H154,"yyyy-mm-dd")&amp;" | "&amp;A154&amp;" | "&amp;E154&amp;" v "&amp;G154&amp;" | "&amp;K154)</x:f>
      </x:c>
      <x:c r="N154" s="38" t="str">
        <x:f>IF(A154="","",IF(AND(L154="Scheduled",D154&lt;&gt;"TBD",F154&lt;&gt;"TBD",E154&lt;&gt;"",G154&lt;&gt;"",D154&lt;&gt;F154,J154&lt;&gt;"",K154&lt;&gt;""),"Yes","No"))</x:f>
      </x:c>
      <x:c r="O154" s="38" t="str">
        <x:f>IF(A154="","",IF(COUNTIF($A$5:$A$204,A154)&gt;1,"Duplicate Match ID",IF(OR(D154="",F154="",J154=""),"Missing fixture field",IF(OR(D154="TBD",F154="TBD",E154="",G154=""),"Unresolved placeholder fixture",IF(D154=F154,"Home and away same",IF(K154="","Missing venue display","OK"))))))</x:f>
      </x:c>
    </x:row>
    <x:row r="155" ht="15" hidden="0" customHeight="1">
      <x:c r="A155" s="38"/>
      <x:c r="B155" s="38"/>
      <x:c r="C155" s="38"/>
      <x:c r="D155" s="38"/>
      <x:c r="E155" s="38" t="str">
        <x:f>IFERROR(XLOOKUP(D155,Teams!$A$5:$A$36,Teams!$C$5:$C$36,""),D155)</x:f>
      </x:c>
      <x:c r="F155" s="38"/>
      <x:c r="G155" s="38" t="str">
        <x:f>IFERROR(XLOOKUP(F155,Teams!$A$5:$A$36,Teams!$C$5:$C$36,""),F155)</x:f>
      </x:c>
      <x:c r="H155" s="60"/>
      <x:c r="I155" s="38"/>
      <x:c r="J155" s="38"/>
      <x:c r="K155" s="38" t="str">
        <x:f>IFERROR(XLOOKUP(J155,Venues!$A$5:$A$24,Venues!$B$5:$B$24,""),"")</x:f>
      </x:c>
      <x:c r="L155" s="38"/>
      <x:c r="M155" s="38" t="str">
        <x:f>IF(A155="","",TEXT(H155,"yyyy-mm-dd")&amp;" | "&amp;A155&amp;" | "&amp;E155&amp;" v "&amp;G155&amp;" | "&amp;K155)</x:f>
      </x:c>
      <x:c r="N155" s="38" t="str">
        <x:f>IF(A155="","",IF(AND(L155="Scheduled",D155&lt;&gt;"TBD",F155&lt;&gt;"TBD",E155&lt;&gt;"",G155&lt;&gt;"",D155&lt;&gt;F155,J155&lt;&gt;"",K155&lt;&gt;""),"Yes","No"))</x:f>
      </x:c>
      <x:c r="O155" s="38" t="str">
        <x:f>IF(A155="","",IF(COUNTIF($A$5:$A$204,A155)&gt;1,"Duplicate Match ID",IF(OR(D155="",F155="",J155=""),"Missing fixture field",IF(OR(D155="TBD",F155="TBD",E155="",G155=""),"Unresolved placeholder fixture",IF(D155=F155,"Home and away same",IF(K155="","Missing venue display","OK"))))))</x:f>
      </x:c>
    </x:row>
    <x:row r="156" ht="15" hidden="0" customHeight="1">
      <x:c r="A156" s="38"/>
      <x:c r="B156" s="38"/>
      <x:c r="C156" s="38"/>
      <x:c r="D156" s="38"/>
      <x:c r="E156" s="38" t="str">
        <x:f>IFERROR(XLOOKUP(D156,Teams!$A$5:$A$36,Teams!$C$5:$C$36,""),D156)</x:f>
      </x:c>
      <x:c r="F156" s="38"/>
      <x:c r="G156" s="38" t="str">
        <x:f>IFERROR(XLOOKUP(F156,Teams!$A$5:$A$36,Teams!$C$5:$C$36,""),F156)</x:f>
      </x:c>
      <x:c r="H156" s="60"/>
      <x:c r="I156" s="38"/>
      <x:c r="J156" s="38"/>
      <x:c r="K156" s="38" t="str">
        <x:f>IFERROR(XLOOKUP(J156,Venues!$A$5:$A$24,Venues!$B$5:$B$24,""),"")</x:f>
      </x:c>
      <x:c r="L156" s="38"/>
      <x:c r="M156" s="38" t="str">
        <x:f>IF(A156="","",TEXT(H156,"yyyy-mm-dd")&amp;" | "&amp;A156&amp;" | "&amp;E156&amp;" v "&amp;G156&amp;" | "&amp;K156)</x:f>
      </x:c>
      <x:c r="N156" s="38" t="str">
        <x:f>IF(A156="","",IF(AND(L156="Scheduled",D156&lt;&gt;"TBD",F156&lt;&gt;"TBD",E156&lt;&gt;"",G156&lt;&gt;"",D156&lt;&gt;F156,J156&lt;&gt;"",K156&lt;&gt;""),"Yes","No"))</x:f>
      </x:c>
      <x:c r="O156" s="38" t="str">
        <x:f>IF(A156="","",IF(COUNTIF($A$5:$A$204,A156)&gt;1,"Duplicate Match ID",IF(OR(D156="",F156="",J156=""),"Missing fixture field",IF(OR(D156="TBD",F156="TBD",E156="",G156=""),"Unresolved placeholder fixture",IF(D156=F156,"Home and away same",IF(K156="","Missing venue display","OK"))))))</x:f>
      </x:c>
    </x:row>
    <x:row r="157" ht="15" hidden="0" customHeight="1">
      <x:c r="A157" s="38"/>
      <x:c r="B157" s="38"/>
      <x:c r="C157" s="38"/>
      <x:c r="D157" s="38"/>
      <x:c r="E157" s="38" t="str">
        <x:f>IFERROR(XLOOKUP(D157,Teams!$A$5:$A$36,Teams!$C$5:$C$36,""),D157)</x:f>
      </x:c>
      <x:c r="F157" s="38"/>
      <x:c r="G157" s="38" t="str">
        <x:f>IFERROR(XLOOKUP(F157,Teams!$A$5:$A$36,Teams!$C$5:$C$36,""),F157)</x:f>
      </x:c>
      <x:c r="H157" s="60"/>
      <x:c r="I157" s="38"/>
      <x:c r="J157" s="38"/>
      <x:c r="K157" s="38" t="str">
        <x:f>IFERROR(XLOOKUP(J157,Venues!$A$5:$A$24,Venues!$B$5:$B$24,""),"")</x:f>
      </x:c>
      <x:c r="L157" s="38"/>
      <x:c r="M157" s="38" t="str">
        <x:f>IF(A157="","",TEXT(H157,"yyyy-mm-dd")&amp;" | "&amp;A157&amp;" | "&amp;E157&amp;" v "&amp;G157&amp;" | "&amp;K157)</x:f>
      </x:c>
      <x:c r="N157" s="38" t="str">
        <x:f>IF(A157="","",IF(AND(L157="Scheduled",D157&lt;&gt;"TBD",F157&lt;&gt;"TBD",E157&lt;&gt;"",G157&lt;&gt;"",D157&lt;&gt;F157,J157&lt;&gt;"",K157&lt;&gt;""),"Yes","No"))</x:f>
      </x:c>
      <x:c r="O157" s="38" t="str">
        <x:f>IF(A157="","",IF(COUNTIF($A$5:$A$204,A157)&gt;1,"Duplicate Match ID",IF(OR(D157="",F157="",J157=""),"Missing fixture field",IF(OR(D157="TBD",F157="TBD",E157="",G157=""),"Unresolved placeholder fixture",IF(D157=F157,"Home and away same",IF(K157="","Missing venue display","OK"))))))</x:f>
      </x:c>
    </x:row>
    <x:row r="158" ht="15" hidden="0" customHeight="1">
      <x:c r="A158" s="38"/>
      <x:c r="B158" s="38"/>
      <x:c r="C158" s="38"/>
      <x:c r="D158" s="38"/>
      <x:c r="E158" s="38" t="str">
        <x:f>IFERROR(XLOOKUP(D158,Teams!$A$5:$A$36,Teams!$C$5:$C$36,""),D158)</x:f>
      </x:c>
      <x:c r="F158" s="38"/>
      <x:c r="G158" s="38" t="str">
        <x:f>IFERROR(XLOOKUP(F158,Teams!$A$5:$A$36,Teams!$C$5:$C$36,""),F158)</x:f>
      </x:c>
      <x:c r="H158" s="60"/>
      <x:c r="I158" s="38"/>
      <x:c r="J158" s="38"/>
      <x:c r="K158" s="38" t="str">
        <x:f>IFERROR(XLOOKUP(J158,Venues!$A$5:$A$24,Venues!$B$5:$B$24,""),"")</x:f>
      </x:c>
      <x:c r="L158" s="38"/>
      <x:c r="M158" s="38" t="str">
        <x:f>IF(A158="","",TEXT(H158,"yyyy-mm-dd")&amp;" | "&amp;A158&amp;" | "&amp;E158&amp;" v "&amp;G158&amp;" | "&amp;K158)</x:f>
      </x:c>
      <x:c r="N158" s="38" t="str">
        <x:f>IF(A158="","",IF(AND(L158="Scheduled",D158&lt;&gt;"TBD",F158&lt;&gt;"TBD",E158&lt;&gt;"",G158&lt;&gt;"",D158&lt;&gt;F158,J158&lt;&gt;"",K158&lt;&gt;""),"Yes","No"))</x:f>
      </x:c>
      <x:c r="O158" s="38" t="str">
        <x:f>IF(A158="","",IF(COUNTIF($A$5:$A$204,A158)&gt;1,"Duplicate Match ID",IF(OR(D158="",F158="",J158=""),"Missing fixture field",IF(OR(D158="TBD",F158="TBD",E158="",G158=""),"Unresolved placeholder fixture",IF(D158=F158,"Home and away same",IF(K158="","Missing venue display","OK"))))))</x:f>
      </x:c>
    </x:row>
    <x:row r="159" ht="15" hidden="0" customHeight="1">
      <x:c r="A159" s="38"/>
      <x:c r="B159" s="38"/>
      <x:c r="C159" s="38"/>
      <x:c r="D159" s="38"/>
      <x:c r="E159" s="38" t="str">
        <x:f>IFERROR(XLOOKUP(D159,Teams!$A$5:$A$36,Teams!$C$5:$C$36,""),D159)</x:f>
      </x:c>
      <x:c r="F159" s="38"/>
      <x:c r="G159" s="38" t="str">
        <x:f>IFERROR(XLOOKUP(F159,Teams!$A$5:$A$36,Teams!$C$5:$C$36,""),F159)</x:f>
      </x:c>
      <x:c r="H159" s="60"/>
      <x:c r="I159" s="38"/>
      <x:c r="J159" s="38"/>
      <x:c r="K159" s="38" t="str">
        <x:f>IFERROR(XLOOKUP(J159,Venues!$A$5:$A$24,Venues!$B$5:$B$24,""),"")</x:f>
      </x:c>
      <x:c r="L159" s="38"/>
      <x:c r="M159" s="38" t="str">
        <x:f>IF(A159="","",TEXT(H159,"yyyy-mm-dd")&amp;" | "&amp;A159&amp;" | "&amp;E159&amp;" v "&amp;G159&amp;" | "&amp;K159)</x:f>
      </x:c>
      <x:c r="N159" s="38" t="str">
        <x:f>IF(A159="","",IF(AND(L159="Scheduled",D159&lt;&gt;"TBD",F159&lt;&gt;"TBD",E159&lt;&gt;"",G159&lt;&gt;"",D159&lt;&gt;F159,J159&lt;&gt;"",K159&lt;&gt;""),"Yes","No"))</x:f>
      </x:c>
      <x:c r="O159" s="38" t="str">
        <x:f>IF(A159="","",IF(COUNTIF($A$5:$A$204,A159)&gt;1,"Duplicate Match ID",IF(OR(D159="",F159="",J159=""),"Missing fixture field",IF(OR(D159="TBD",F159="TBD",E159="",G159=""),"Unresolved placeholder fixture",IF(D159=F159,"Home and away same",IF(K159="","Missing venue display","OK"))))))</x:f>
      </x:c>
    </x:row>
    <x:row r="160" ht="15" hidden="0" customHeight="1">
      <x:c r="A160" s="38"/>
      <x:c r="B160" s="38"/>
      <x:c r="C160" s="38"/>
      <x:c r="D160" s="38"/>
      <x:c r="E160" s="38" t="str">
        <x:f>IFERROR(XLOOKUP(D160,Teams!$A$5:$A$36,Teams!$C$5:$C$36,""),D160)</x:f>
      </x:c>
      <x:c r="F160" s="38"/>
      <x:c r="G160" s="38" t="str">
        <x:f>IFERROR(XLOOKUP(F160,Teams!$A$5:$A$36,Teams!$C$5:$C$36,""),F160)</x:f>
      </x:c>
      <x:c r="H160" s="60"/>
      <x:c r="I160" s="38"/>
      <x:c r="J160" s="38"/>
      <x:c r="K160" s="38" t="str">
        <x:f>IFERROR(XLOOKUP(J160,Venues!$A$5:$A$24,Venues!$B$5:$B$24,""),"")</x:f>
      </x:c>
      <x:c r="L160" s="38"/>
      <x:c r="M160" s="38" t="str">
        <x:f>IF(A160="","",TEXT(H160,"yyyy-mm-dd")&amp;" | "&amp;A160&amp;" | "&amp;E160&amp;" v "&amp;G160&amp;" | "&amp;K160)</x:f>
      </x:c>
      <x:c r="N160" s="38" t="str">
        <x:f>IF(A160="","",IF(AND(L160="Scheduled",D160&lt;&gt;"TBD",F160&lt;&gt;"TBD",E160&lt;&gt;"",G160&lt;&gt;"",D160&lt;&gt;F160,J160&lt;&gt;"",K160&lt;&gt;""),"Yes","No"))</x:f>
      </x:c>
      <x:c r="O160" s="38" t="str">
        <x:f>IF(A160="","",IF(COUNTIF($A$5:$A$204,A160)&gt;1,"Duplicate Match ID",IF(OR(D160="",F160="",J160=""),"Missing fixture field",IF(OR(D160="TBD",F160="TBD",E160="",G160=""),"Unresolved placeholder fixture",IF(D160=F160,"Home and away same",IF(K160="","Missing venue display","OK"))))))</x:f>
      </x:c>
    </x:row>
    <x:row r="161" ht="15" hidden="0" customHeight="1">
      <x:c r="A161" s="38"/>
      <x:c r="B161" s="38"/>
      <x:c r="C161" s="38"/>
      <x:c r="D161" s="38"/>
      <x:c r="E161" s="38" t="str">
        <x:f>IFERROR(XLOOKUP(D161,Teams!$A$5:$A$36,Teams!$C$5:$C$36,""),D161)</x:f>
      </x:c>
      <x:c r="F161" s="38"/>
      <x:c r="G161" s="38" t="str">
        <x:f>IFERROR(XLOOKUP(F161,Teams!$A$5:$A$36,Teams!$C$5:$C$36,""),F161)</x:f>
      </x:c>
      <x:c r="H161" s="60"/>
      <x:c r="I161" s="38"/>
      <x:c r="J161" s="38"/>
      <x:c r="K161" s="38" t="str">
        <x:f>IFERROR(XLOOKUP(J161,Venues!$A$5:$A$24,Venues!$B$5:$B$24,""),"")</x:f>
      </x:c>
      <x:c r="L161" s="38"/>
      <x:c r="M161" s="38" t="str">
        <x:f>IF(A161="","",TEXT(H161,"yyyy-mm-dd")&amp;" | "&amp;A161&amp;" | "&amp;E161&amp;" v "&amp;G161&amp;" | "&amp;K161)</x:f>
      </x:c>
      <x:c r="N161" s="38" t="str">
        <x:f>IF(A161="","",IF(AND(L161="Scheduled",D161&lt;&gt;"TBD",F161&lt;&gt;"TBD",E161&lt;&gt;"",G161&lt;&gt;"",D161&lt;&gt;F161,J161&lt;&gt;"",K161&lt;&gt;""),"Yes","No"))</x:f>
      </x:c>
      <x:c r="O161" s="38" t="str">
        <x:f>IF(A161="","",IF(COUNTIF($A$5:$A$204,A161)&gt;1,"Duplicate Match ID",IF(OR(D161="",F161="",J161=""),"Missing fixture field",IF(OR(D161="TBD",F161="TBD",E161="",G161=""),"Unresolved placeholder fixture",IF(D161=F161,"Home and away same",IF(K161="","Missing venue display","OK"))))))</x:f>
      </x:c>
    </x:row>
    <x:row r="162" ht="15" hidden="0" customHeight="1">
      <x:c r="A162" s="38"/>
      <x:c r="B162" s="38"/>
      <x:c r="C162" s="38"/>
      <x:c r="D162" s="38"/>
      <x:c r="E162" s="38" t="str">
        <x:f>IFERROR(XLOOKUP(D162,Teams!$A$5:$A$36,Teams!$C$5:$C$36,""),D162)</x:f>
      </x:c>
      <x:c r="F162" s="38"/>
      <x:c r="G162" s="38" t="str">
        <x:f>IFERROR(XLOOKUP(F162,Teams!$A$5:$A$36,Teams!$C$5:$C$36,""),F162)</x:f>
      </x:c>
      <x:c r="H162" s="60"/>
      <x:c r="I162" s="38"/>
      <x:c r="J162" s="38"/>
      <x:c r="K162" s="38" t="str">
        <x:f>IFERROR(XLOOKUP(J162,Venues!$A$5:$A$24,Venues!$B$5:$B$24,""),"")</x:f>
      </x:c>
      <x:c r="L162" s="38"/>
      <x:c r="M162" s="38" t="str">
        <x:f>IF(A162="","",TEXT(H162,"yyyy-mm-dd")&amp;" | "&amp;A162&amp;" | "&amp;E162&amp;" v "&amp;G162&amp;" | "&amp;K162)</x:f>
      </x:c>
      <x:c r="N162" s="38" t="str">
        <x:f>IF(A162="","",IF(AND(L162="Scheduled",D162&lt;&gt;"TBD",F162&lt;&gt;"TBD",E162&lt;&gt;"",G162&lt;&gt;"",D162&lt;&gt;F162,J162&lt;&gt;"",K162&lt;&gt;""),"Yes","No"))</x:f>
      </x:c>
      <x:c r="O162" s="38" t="str">
        <x:f>IF(A162="","",IF(COUNTIF($A$5:$A$204,A162)&gt;1,"Duplicate Match ID",IF(OR(D162="",F162="",J162=""),"Missing fixture field",IF(OR(D162="TBD",F162="TBD",E162="",G162=""),"Unresolved placeholder fixture",IF(D162=F162,"Home and away same",IF(K162="","Missing venue display","OK"))))))</x:f>
      </x:c>
    </x:row>
    <x:row r="163" ht="15" hidden="0" customHeight="1">
      <x:c r="A163" s="38"/>
      <x:c r="B163" s="38"/>
      <x:c r="C163" s="38"/>
      <x:c r="D163" s="38"/>
      <x:c r="E163" s="38" t="str">
        <x:f>IFERROR(XLOOKUP(D163,Teams!$A$5:$A$36,Teams!$C$5:$C$36,""),D163)</x:f>
      </x:c>
      <x:c r="F163" s="38"/>
      <x:c r="G163" s="38" t="str">
        <x:f>IFERROR(XLOOKUP(F163,Teams!$A$5:$A$36,Teams!$C$5:$C$36,""),F163)</x:f>
      </x:c>
      <x:c r="H163" s="60"/>
      <x:c r="I163" s="38"/>
      <x:c r="J163" s="38"/>
      <x:c r="K163" s="38" t="str">
        <x:f>IFERROR(XLOOKUP(J163,Venues!$A$5:$A$24,Venues!$B$5:$B$24,""),"")</x:f>
      </x:c>
      <x:c r="L163" s="38"/>
      <x:c r="M163" s="38" t="str">
        <x:f>IF(A163="","",TEXT(H163,"yyyy-mm-dd")&amp;" | "&amp;A163&amp;" | "&amp;E163&amp;" v "&amp;G163&amp;" | "&amp;K163)</x:f>
      </x:c>
      <x:c r="N163" s="38" t="str">
        <x:f>IF(A163="","",IF(AND(L163="Scheduled",D163&lt;&gt;"TBD",F163&lt;&gt;"TBD",E163&lt;&gt;"",G163&lt;&gt;"",D163&lt;&gt;F163,J163&lt;&gt;"",K163&lt;&gt;""),"Yes","No"))</x:f>
      </x:c>
      <x:c r="O163" s="38" t="str">
        <x:f>IF(A163="","",IF(COUNTIF($A$5:$A$204,A163)&gt;1,"Duplicate Match ID",IF(OR(D163="",F163="",J163=""),"Missing fixture field",IF(OR(D163="TBD",F163="TBD",E163="",G163=""),"Unresolved placeholder fixture",IF(D163=F163,"Home and away same",IF(K163="","Missing venue display","OK"))))))</x:f>
      </x:c>
    </x:row>
    <x:row r="164" ht="15" hidden="0" customHeight="1">
      <x:c r="A164" s="38"/>
      <x:c r="B164" s="38"/>
      <x:c r="C164" s="38"/>
      <x:c r="D164" s="38"/>
      <x:c r="E164" s="38" t="str">
        <x:f>IFERROR(XLOOKUP(D164,Teams!$A$5:$A$36,Teams!$C$5:$C$36,""),D164)</x:f>
      </x:c>
      <x:c r="F164" s="38"/>
      <x:c r="G164" s="38" t="str">
        <x:f>IFERROR(XLOOKUP(F164,Teams!$A$5:$A$36,Teams!$C$5:$C$36,""),F164)</x:f>
      </x:c>
      <x:c r="H164" s="60"/>
      <x:c r="I164" s="38"/>
      <x:c r="J164" s="38"/>
      <x:c r="K164" s="38" t="str">
        <x:f>IFERROR(XLOOKUP(J164,Venues!$A$5:$A$24,Venues!$B$5:$B$24,""),"")</x:f>
      </x:c>
      <x:c r="L164" s="38"/>
      <x:c r="M164" s="38" t="str">
        <x:f>IF(A164="","",TEXT(H164,"yyyy-mm-dd")&amp;" | "&amp;A164&amp;" | "&amp;E164&amp;" v "&amp;G164&amp;" | "&amp;K164)</x:f>
      </x:c>
      <x:c r="N164" s="38" t="str">
        <x:f>IF(A164="","",IF(AND(L164="Scheduled",D164&lt;&gt;"TBD",F164&lt;&gt;"TBD",E164&lt;&gt;"",G164&lt;&gt;"",D164&lt;&gt;F164,J164&lt;&gt;"",K164&lt;&gt;""),"Yes","No"))</x:f>
      </x:c>
      <x:c r="O164" s="38" t="str">
        <x:f>IF(A164="","",IF(COUNTIF($A$5:$A$204,A164)&gt;1,"Duplicate Match ID",IF(OR(D164="",F164="",J164=""),"Missing fixture field",IF(OR(D164="TBD",F164="TBD",E164="",G164=""),"Unresolved placeholder fixture",IF(D164=F164,"Home and away same",IF(K164="","Missing venue display","OK"))))))</x:f>
      </x:c>
    </x:row>
    <x:row r="165" ht="15" hidden="0" customHeight="1">
      <x:c r="A165" s="38"/>
      <x:c r="B165" s="38"/>
      <x:c r="C165" s="38"/>
      <x:c r="D165" s="38"/>
      <x:c r="E165" s="38" t="str">
        <x:f>IFERROR(XLOOKUP(D165,Teams!$A$5:$A$36,Teams!$C$5:$C$36,""),D165)</x:f>
      </x:c>
      <x:c r="F165" s="38"/>
      <x:c r="G165" s="38" t="str">
        <x:f>IFERROR(XLOOKUP(F165,Teams!$A$5:$A$36,Teams!$C$5:$C$36,""),F165)</x:f>
      </x:c>
      <x:c r="H165" s="60"/>
      <x:c r="I165" s="38"/>
      <x:c r="J165" s="38"/>
      <x:c r="K165" s="38" t="str">
        <x:f>IFERROR(XLOOKUP(J165,Venues!$A$5:$A$24,Venues!$B$5:$B$24,""),"")</x:f>
      </x:c>
      <x:c r="L165" s="38"/>
      <x:c r="M165" s="38" t="str">
        <x:f>IF(A165="","",TEXT(H165,"yyyy-mm-dd")&amp;" | "&amp;A165&amp;" | "&amp;E165&amp;" v "&amp;G165&amp;" | "&amp;K165)</x:f>
      </x:c>
      <x:c r="N165" s="38" t="str">
        <x:f>IF(A165="","",IF(AND(L165="Scheduled",D165&lt;&gt;"TBD",F165&lt;&gt;"TBD",E165&lt;&gt;"",G165&lt;&gt;"",D165&lt;&gt;F165,J165&lt;&gt;"",K165&lt;&gt;""),"Yes","No"))</x:f>
      </x:c>
      <x:c r="O165" s="38" t="str">
        <x:f>IF(A165="","",IF(COUNTIF($A$5:$A$204,A165)&gt;1,"Duplicate Match ID",IF(OR(D165="",F165="",J165=""),"Missing fixture field",IF(OR(D165="TBD",F165="TBD",E165="",G165=""),"Unresolved placeholder fixture",IF(D165=F165,"Home and away same",IF(K165="","Missing venue display","OK"))))))</x:f>
      </x:c>
    </x:row>
    <x:row r="166" ht="15" hidden="0" customHeight="1">
      <x:c r="A166" s="38"/>
      <x:c r="B166" s="38"/>
      <x:c r="C166" s="38"/>
      <x:c r="D166" s="38"/>
      <x:c r="E166" s="38" t="str">
        <x:f>IFERROR(XLOOKUP(D166,Teams!$A$5:$A$36,Teams!$C$5:$C$36,""),D166)</x:f>
      </x:c>
      <x:c r="F166" s="38"/>
      <x:c r="G166" s="38" t="str">
        <x:f>IFERROR(XLOOKUP(F166,Teams!$A$5:$A$36,Teams!$C$5:$C$36,""),F166)</x:f>
      </x:c>
      <x:c r="H166" s="60"/>
      <x:c r="I166" s="38"/>
      <x:c r="J166" s="38"/>
      <x:c r="K166" s="38" t="str">
        <x:f>IFERROR(XLOOKUP(J166,Venues!$A$5:$A$24,Venues!$B$5:$B$24,""),"")</x:f>
      </x:c>
      <x:c r="L166" s="38"/>
      <x:c r="M166" s="38" t="str">
        <x:f>IF(A166="","",TEXT(H166,"yyyy-mm-dd")&amp;" | "&amp;A166&amp;" | "&amp;E166&amp;" v "&amp;G166&amp;" | "&amp;K166)</x:f>
      </x:c>
      <x:c r="N166" s="38" t="str">
        <x:f>IF(A166="","",IF(AND(L166="Scheduled",D166&lt;&gt;"TBD",F166&lt;&gt;"TBD",E166&lt;&gt;"",G166&lt;&gt;"",D166&lt;&gt;F166,J166&lt;&gt;"",K166&lt;&gt;""),"Yes","No"))</x:f>
      </x:c>
      <x:c r="O166" s="38" t="str">
        <x:f>IF(A166="","",IF(COUNTIF($A$5:$A$204,A166)&gt;1,"Duplicate Match ID",IF(OR(D166="",F166="",J166=""),"Missing fixture field",IF(OR(D166="TBD",F166="TBD",E166="",G166=""),"Unresolved placeholder fixture",IF(D166=F166,"Home and away same",IF(K166="","Missing venue display","OK"))))))</x:f>
      </x:c>
    </x:row>
    <x:row r="167" ht="15" hidden="0" customHeight="1">
      <x:c r="A167" s="38"/>
      <x:c r="B167" s="38"/>
      <x:c r="C167" s="38"/>
      <x:c r="D167" s="38"/>
      <x:c r="E167" s="38" t="str">
        <x:f>IFERROR(XLOOKUP(D167,Teams!$A$5:$A$36,Teams!$C$5:$C$36,""),D167)</x:f>
      </x:c>
      <x:c r="F167" s="38"/>
      <x:c r="G167" s="38" t="str">
        <x:f>IFERROR(XLOOKUP(F167,Teams!$A$5:$A$36,Teams!$C$5:$C$36,""),F167)</x:f>
      </x:c>
      <x:c r="H167" s="60"/>
      <x:c r="I167" s="38"/>
      <x:c r="J167" s="38"/>
      <x:c r="K167" s="38" t="str">
        <x:f>IFERROR(XLOOKUP(J167,Venues!$A$5:$A$24,Venues!$B$5:$B$24,""),"")</x:f>
      </x:c>
      <x:c r="L167" s="38"/>
      <x:c r="M167" s="38" t="str">
        <x:f>IF(A167="","",TEXT(H167,"yyyy-mm-dd")&amp;" | "&amp;A167&amp;" | "&amp;E167&amp;" v "&amp;G167&amp;" | "&amp;K167)</x:f>
      </x:c>
      <x:c r="N167" s="38" t="str">
        <x:f>IF(A167="","",IF(AND(L167="Scheduled",D167&lt;&gt;"TBD",F167&lt;&gt;"TBD",E167&lt;&gt;"",G167&lt;&gt;"",D167&lt;&gt;F167,J167&lt;&gt;"",K167&lt;&gt;""),"Yes","No"))</x:f>
      </x:c>
      <x:c r="O167" s="38" t="str">
        <x:f>IF(A167="","",IF(COUNTIF($A$5:$A$204,A167)&gt;1,"Duplicate Match ID",IF(OR(D167="",F167="",J167=""),"Missing fixture field",IF(OR(D167="TBD",F167="TBD",E167="",G167=""),"Unresolved placeholder fixture",IF(D167=F167,"Home and away same",IF(K167="","Missing venue display","OK"))))))</x:f>
      </x:c>
    </x:row>
    <x:row r="168" ht="15" hidden="0" customHeight="1">
      <x:c r="A168" s="38"/>
      <x:c r="B168" s="38"/>
      <x:c r="C168" s="38"/>
      <x:c r="D168" s="38"/>
      <x:c r="E168" s="38" t="str">
        <x:f>IFERROR(XLOOKUP(D168,Teams!$A$5:$A$36,Teams!$C$5:$C$36,""),D168)</x:f>
      </x:c>
      <x:c r="F168" s="38"/>
      <x:c r="G168" s="38" t="str">
        <x:f>IFERROR(XLOOKUP(F168,Teams!$A$5:$A$36,Teams!$C$5:$C$36,""),F168)</x:f>
      </x:c>
      <x:c r="H168" s="60"/>
      <x:c r="I168" s="38"/>
      <x:c r="J168" s="38"/>
      <x:c r="K168" s="38" t="str">
        <x:f>IFERROR(XLOOKUP(J168,Venues!$A$5:$A$24,Venues!$B$5:$B$24,""),"")</x:f>
      </x:c>
      <x:c r="L168" s="38"/>
      <x:c r="M168" s="38" t="str">
        <x:f>IF(A168="","",TEXT(H168,"yyyy-mm-dd")&amp;" | "&amp;A168&amp;" | "&amp;E168&amp;" v "&amp;G168&amp;" | "&amp;K168)</x:f>
      </x:c>
      <x:c r="N168" s="38" t="str">
        <x:f>IF(A168="","",IF(AND(L168="Scheduled",D168&lt;&gt;"TBD",F168&lt;&gt;"TBD",E168&lt;&gt;"",G168&lt;&gt;"",D168&lt;&gt;F168,J168&lt;&gt;"",K168&lt;&gt;""),"Yes","No"))</x:f>
      </x:c>
      <x:c r="O168" s="38" t="str">
        <x:f>IF(A168="","",IF(COUNTIF($A$5:$A$204,A168)&gt;1,"Duplicate Match ID",IF(OR(D168="",F168="",J168=""),"Missing fixture field",IF(OR(D168="TBD",F168="TBD",E168="",G168=""),"Unresolved placeholder fixture",IF(D168=F168,"Home and away same",IF(K168="","Missing venue display","OK"))))))</x:f>
      </x:c>
    </x:row>
    <x:row r="169" ht="15" hidden="0" customHeight="1">
      <x:c r="A169" s="38"/>
      <x:c r="B169" s="38"/>
      <x:c r="C169" s="38"/>
      <x:c r="D169" s="38"/>
      <x:c r="E169" s="38" t="str">
        <x:f>IFERROR(XLOOKUP(D169,Teams!$A$5:$A$36,Teams!$C$5:$C$36,""),D169)</x:f>
      </x:c>
      <x:c r="F169" s="38"/>
      <x:c r="G169" s="38" t="str">
        <x:f>IFERROR(XLOOKUP(F169,Teams!$A$5:$A$36,Teams!$C$5:$C$36,""),F169)</x:f>
      </x:c>
      <x:c r="H169" s="60"/>
      <x:c r="I169" s="38"/>
      <x:c r="J169" s="38"/>
      <x:c r="K169" s="38" t="str">
        <x:f>IFERROR(XLOOKUP(J169,Venues!$A$5:$A$24,Venues!$B$5:$B$24,""),"")</x:f>
      </x:c>
      <x:c r="L169" s="38"/>
      <x:c r="M169" s="38" t="str">
        <x:f>IF(A169="","",TEXT(H169,"yyyy-mm-dd")&amp;" | "&amp;A169&amp;" | "&amp;E169&amp;" v "&amp;G169&amp;" | "&amp;K169)</x:f>
      </x:c>
      <x:c r="N169" s="38" t="str">
        <x:f>IF(A169="","",IF(AND(L169="Scheduled",D169&lt;&gt;"TBD",F169&lt;&gt;"TBD",E169&lt;&gt;"",G169&lt;&gt;"",D169&lt;&gt;F169,J169&lt;&gt;"",K169&lt;&gt;""),"Yes","No"))</x:f>
      </x:c>
      <x:c r="O169" s="38" t="str">
        <x:f>IF(A169="","",IF(COUNTIF($A$5:$A$204,A169)&gt;1,"Duplicate Match ID",IF(OR(D169="",F169="",J169=""),"Missing fixture field",IF(OR(D169="TBD",F169="TBD",E169="",G169=""),"Unresolved placeholder fixture",IF(D169=F169,"Home and away same",IF(K169="","Missing venue display","OK"))))))</x:f>
      </x:c>
    </x:row>
    <x:row r="170" ht="15" hidden="0" customHeight="1">
      <x:c r="A170" s="38"/>
      <x:c r="B170" s="38"/>
      <x:c r="C170" s="38"/>
      <x:c r="D170" s="38"/>
      <x:c r="E170" s="38" t="str">
        <x:f>IFERROR(XLOOKUP(D170,Teams!$A$5:$A$36,Teams!$C$5:$C$36,""),D170)</x:f>
      </x:c>
      <x:c r="F170" s="38"/>
      <x:c r="G170" s="38" t="str">
        <x:f>IFERROR(XLOOKUP(F170,Teams!$A$5:$A$36,Teams!$C$5:$C$36,""),F170)</x:f>
      </x:c>
      <x:c r="H170" s="60"/>
      <x:c r="I170" s="38"/>
      <x:c r="J170" s="38"/>
      <x:c r="K170" s="38" t="str">
        <x:f>IFERROR(XLOOKUP(J170,Venues!$A$5:$A$24,Venues!$B$5:$B$24,""),"")</x:f>
      </x:c>
      <x:c r="L170" s="38"/>
      <x:c r="M170" s="38" t="str">
        <x:f>IF(A170="","",TEXT(H170,"yyyy-mm-dd")&amp;" | "&amp;A170&amp;" | "&amp;E170&amp;" v "&amp;G170&amp;" | "&amp;K170)</x:f>
      </x:c>
      <x:c r="N170" s="38" t="str">
        <x:f>IF(A170="","",IF(AND(L170="Scheduled",D170&lt;&gt;"TBD",F170&lt;&gt;"TBD",E170&lt;&gt;"",G170&lt;&gt;"",D170&lt;&gt;F170,J170&lt;&gt;"",K170&lt;&gt;""),"Yes","No"))</x:f>
      </x:c>
      <x:c r="O170" s="38" t="str">
        <x:f>IF(A170="","",IF(COUNTIF($A$5:$A$204,A170)&gt;1,"Duplicate Match ID",IF(OR(D170="",F170="",J170=""),"Missing fixture field",IF(OR(D170="TBD",F170="TBD",E170="",G170=""),"Unresolved placeholder fixture",IF(D170=F170,"Home and away same",IF(K170="","Missing venue display","OK"))))))</x:f>
      </x:c>
    </x:row>
    <x:row r="171" ht="15" hidden="0" customHeight="1">
      <x:c r="A171" s="38"/>
      <x:c r="B171" s="38"/>
      <x:c r="C171" s="38"/>
      <x:c r="D171" s="38"/>
      <x:c r="E171" s="38" t="str">
        <x:f>IFERROR(XLOOKUP(D171,Teams!$A$5:$A$36,Teams!$C$5:$C$36,""),D171)</x:f>
      </x:c>
      <x:c r="F171" s="38"/>
      <x:c r="G171" s="38" t="str">
        <x:f>IFERROR(XLOOKUP(F171,Teams!$A$5:$A$36,Teams!$C$5:$C$36,""),F171)</x:f>
      </x:c>
      <x:c r="H171" s="60"/>
      <x:c r="I171" s="38"/>
      <x:c r="J171" s="38"/>
      <x:c r="K171" s="38" t="str">
        <x:f>IFERROR(XLOOKUP(J171,Venues!$A$5:$A$24,Venues!$B$5:$B$24,""),"")</x:f>
      </x:c>
      <x:c r="L171" s="38"/>
      <x:c r="M171" s="38" t="str">
        <x:f>IF(A171="","",TEXT(H171,"yyyy-mm-dd")&amp;" | "&amp;A171&amp;" | "&amp;E171&amp;" v "&amp;G171&amp;" | "&amp;K171)</x:f>
      </x:c>
      <x:c r="N171" s="38" t="str">
        <x:f>IF(A171="","",IF(AND(L171="Scheduled",D171&lt;&gt;"TBD",F171&lt;&gt;"TBD",E171&lt;&gt;"",G171&lt;&gt;"",D171&lt;&gt;F171,J171&lt;&gt;"",K171&lt;&gt;""),"Yes","No"))</x:f>
      </x:c>
      <x:c r="O171" s="38" t="str">
        <x:f>IF(A171="","",IF(COUNTIF($A$5:$A$204,A171)&gt;1,"Duplicate Match ID",IF(OR(D171="",F171="",J171=""),"Missing fixture field",IF(OR(D171="TBD",F171="TBD",E171="",G171=""),"Unresolved placeholder fixture",IF(D171=F171,"Home and away same",IF(K171="","Missing venue display","OK"))))))</x:f>
      </x:c>
    </x:row>
    <x:row r="172" ht="15" hidden="0" customHeight="1">
      <x:c r="A172" s="38"/>
      <x:c r="B172" s="38"/>
      <x:c r="C172" s="38"/>
      <x:c r="D172" s="38"/>
      <x:c r="E172" s="38" t="str">
        <x:f>IFERROR(XLOOKUP(D172,Teams!$A$5:$A$36,Teams!$C$5:$C$36,""),D172)</x:f>
      </x:c>
      <x:c r="F172" s="38"/>
      <x:c r="G172" s="38" t="str">
        <x:f>IFERROR(XLOOKUP(F172,Teams!$A$5:$A$36,Teams!$C$5:$C$36,""),F172)</x:f>
      </x:c>
      <x:c r="H172" s="60"/>
      <x:c r="I172" s="38"/>
      <x:c r="J172" s="38"/>
      <x:c r="K172" s="38" t="str">
        <x:f>IFERROR(XLOOKUP(J172,Venues!$A$5:$A$24,Venues!$B$5:$B$24,""),"")</x:f>
      </x:c>
      <x:c r="L172" s="38"/>
      <x:c r="M172" s="38" t="str">
        <x:f>IF(A172="","",TEXT(H172,"yyyy-mm-dd")&amp;" | "&amp;A172&amp;" | "&amp;E172&amp;" v "&amp;G172&amp;" | "&amp;K172)</x:f>
      </x:c>
      <x:c r="N172" s="38" t="str">
        <x:f>IF(A172="","",IF(AND(L172="Scheduled",D172&lt;&gt;"TBD",F172&lt;&gt;"TBD",E172&lt;&gt;"",G172&lt;&gt;"",D172&lt;&gt;F172,J172&lt;&gt;"",K172&lt;&gt;""),"Yes","No"))</x:f>
      </x:c>
      <x:c r="O172" s="38" t="str">
        <x:f>IF(A172="","",IF(COUNTIF($A$5:$A$204,A172)&gt;1,"Duplicate Match ID",IF(OR(D172="",F172="",J172=""),"Missing fixture field",IF(OR(D172="TBD",F172="TBD",E172="",G172=""),"Unresolved placeholder fixture",IF(D172=F172,"Home and away same",IF(K172="","Missing venue display","OK"))))))</x:f>
      </x:c>
    </x:row>
    <x:row r="173" ht="15" hidden="0" customHeight="1">
      <x:c r="A173" s="38"/>
      <x:c r="B173" s="38"/>
      <x:c r="C173" s="38"/>
      <x:c r="D173" s="38"/>
      <x:c r="E173" s="38" t="str">
        <x:f>IFERROR(XLOOKUP(D173,Teams!$A$5:$A$36,Teams!$C$5:$C$36,""),D173)</x:f>
      </x:c>
      <x:c r="F173" s="38"/>
      <x:c r="G173" s="38" t="str">
        <x:f>IFERROR(XLOOKUP(F173,Teams!$A$5:$A$36,Teams!$C$5:$C$36,""),F173)</x:f>
      </x:c>
      <x:c r="H173" s="60"/>
      <x:c r="I173" s="38"/>
      <x:c r="J173" s="38"/>
      <x:c r="K173" s="38" t="str">
        <x:f>IFERROR(XLOOKUP(J173,Venues!$A$5:$A$24,Venues!$B$5:$B$24,""),"")</x:f>
      </x:c>
      <x:c r="L173" s="38"/>
      <x:c r="M173" s="38" t="str">
        <x:f>IF(A173="","",TEXT(H173,"yyyy-mm-dd")&amp;" | "&amp;A173&amp;" | "&amp;E173&amp;" v "&amp;G173&amp;" | "&amp;K173)</x:f>
      </x:c>
      <x:c r="N173" s="38" t="str">
        <x:f>IF(A173="","",IF(AND(L173="Scheduled",D173&lt;&gt;"TBD",F173&lt;&gt;"TBD",E173&lt;&gt;"",G173&lt;&gt;"",D173&lt;&gt;F173,J173&lt;&gt;"",K173&lt;&gt;""),"Yes","No"))</x:f>
      </x:c>
      <x:c r="O173" s="38" t="str">
        <x:f>IF(A173="","",IF(COUNTIF($A$5:$A$204,A173)&gt;1,"Duplicate Match ID",IF(OR(D173="",F173="",J173=""),"Missing fixture field",IF(OR(D173="TBD",F173="TBD",E173="",G173=""),"Unresolved placeholder fixture",IF(D173=F173,"Home and away same",IF(K173="","Missing venue display","OK"))))))</x:f>
      </x:c>
    </x:row>
    <x:row r="174" ht="15" hidden="0" customHeight="1">
      <x:c r="A174" s="38"/>
      <x:c r="B174" s="38"/>
      <x:c r="C174" s="38"/>
      <x:c r="D174" s="38"/>
      <x:c r="E174" s="38" t="str">
        <x:f>IFERROR(XLOOKUP(D174,Teams!$A$5:$A$36,Teams!$C$5:$C$36,""),D174)</x:f>
      </x:c>
      <x:c r="F174" s="38"/>
      <x:c r="G174" s="38" t="str">
        <x:f>IFERROR(XLOOKUP(F174,Teams!$A$5:$A$36,Teams!$C$5:$C$36,""),F174)</x:f>
      </x:c>
      <x:c r="H174" s="60"/>
      <x:c r="I174" s="38"/>
      <x:c r="J174" s="38"/>
      <x:c r="K174" s="38" t="str">
        <x:f>IFERROR(XLOOKUP(J174,Venues!$A$5:$A$24,Venues!$B$5:$B$24,""),"")</x:f>
      </x:c>
      <x:c r="L174" s="38"/>
      <x:c r="M174" s="38" t="str">
        <x:f>IF(A174="","",TEXT(H174,"yyyy-mm-dd")&amp;" | "&amp;A174&amp;" | "&amp;E174&amp;" v "&amp;G174&amp;" | "&amp;K174)</x:f>
      </x:c>
      <x:c r="N174" s="38" t="str">
        <x:f>IF(A174="","",IF(AND(L174="Scheduled",D174&lt;&gt;"TBD",F174&lt;&gt;"TBD",E174&lt;&gt;"",G174&lt;&gt;"",D174&lt;&gt;F174,J174&lt;&gt;"",K174&lt;&gt;""),"Yes","No"))</x:f>
      </x:c>
      <x:c r="O174" s="38" t="str">
        <x:f>IF(A174="","",IF(COUNTIF($A$5:$A$204,A174)&gt;1,"Duplicate Match ID",IF(OR(D174="",F174="",J174=""),"Missing fixture field",IF(OR(D174="TBD",F174="TBD",E174="",G174=""),"Unresolved placeholder fixture",IF(D174=F174,"Home and away same",IF(K174="","Missing venue display","OK"))))))</x:f>
      </x:c>
    </x:row>
    <x:row r="175" ht="15" hidden="0" customHeight="1">
      <x:c r="A175" s="38"/>
      <x:c r="B175" s="38"/>
      <x:c r="C175" s="38"/>
      <x:c r="D175" s="38"/>
      <x:c r="E175" s="38" t="str">
        <x:f>IFERROR(XLOOKUP(D175,Teams!$A$5:$A$36,Teams!$C$5:$C$36,""),D175)</x:f>
      </x:c>
      <x:c r="F175" s="38"/>
      <x:c r="G175" s="38" t="str">
        <x:f>IFERROR(XLOOKUP(F175,Teams!$A$5:$A$36,Teams!$C$5:$C$36,""),F175)</x:f>
      </x:c>
      <x:c r="H175" s="60"/>
      <x:c r="I175" s="38"/>
      <x:c r="J175" s="38"/>
      <x:c r="K175" s="38" t="str">
        <x:f>IFERROR(XLOOKUP(J175,Venues!$A$5:$A$24,Venues!$B$5:$B$24,""),"")</x:f>
      </x:c>
      <x:c r="L175" s="38"/>
      <x:c r="M175" s="38" t="str">
        <x:f>IF(A175="","",TEXT(H175,"yyyy-mm-dd")&amp;" | "&amp;A175&amp;" | "&amp;E175&amp;" v "&amp;G175&amp;" | "&amp;K175)</x:f>
      </x:c>
      <x:c r="N175" s="38" t="str">
        <x:f>IF(A175="","",IF(AND(L175="Scheduled",D175&lt;&gt;"TBD",F175&lt;&gt;"TBD",E175&lt;&gt;"",G175&lt;&gt;"",D175&lt;&gt;F175,J175&lt;&gt;"",K175&lt;&gt;""),"Yes","No"))</x:f>
      </x:c>
      <x:c r="O175" s="38" t="str">
        <x:f>IF(A175="","",IF(COUNTIF($A$5:$A$204,A175)&gt;1,"Duplicate Match ID",IF(OR(D175="",F175="",J175=""),"Missing fixture field",IF(OR(D175="TBD",F175="TBD",E175="",G175=""),"Unresolved placeholder fixture",IF(D175=F175,"Home and away same",IF(K175="","Missing venue display","OK"))))))</x:f>
      </x:c>
    </x:row>
    <x:row r="176" ht="15" hidden="0" customHeight="1">
      <x:c r="A176" s="38"/>
      <x:c r="B176" s="38"/>
      <x:c r="C176" s="38"/>
      <x:c r="D176" s="38"/>
      <x:c r="E176" s="38" t="str">
        <x:f>IFERROR(XLOOKUP(D176,Teams!$A$5:$A$36,Teams!$C$5:$C$36,""),D176)</x:f>
      </x:c>
      <x:c r="F176" s="38"/>
      <x:c r="G176" s="38" t="str">
        <x:f>IFERROR(XLOOKUP(F176,Teams!$A$5:$A$36,Teams!$C$5:$C$36,""),F176)</x:f>
      </x:c>
      <x:c r="H176" s="60"/>
      <x:c r="I176" s="38"/>
      <x:c r="J176" s="38"/>
      <x:c r="K176" s="38" t="str">
        <x:f>IFERROR(XLOOKUP(J176,Venues!$A$5:$A$24,Venues!$B$5:$B$24,""),"")</x:f>
      </x:c>
      <x:c r="L176" s="38"/>
      <x:c r="M176" s="38" t="str">
        <x:f>IF(A176="","",TEXT(H176,"yyyy-mm-dd")&amp;" | "&amp;A176&amp;" | "&amp;E176&amp;" v "&amp;G176&amp;" | "&amp;K176)</x:f>
      </x:c>
      <x:c r="N176" s="38" t="str">
        <x:f>IF(A176="","",IF(AND(L176="Scheduled",D176&lt;&gt;"TBD",F176&lt;&gt;"TBD",E176&lt;&gt;"",G176&lt;&gt;"",D176&lt;&gt;F176,J176&lt;&gt;"",K176&lt;&gt;""),"Yes","No"))</x:f>
      </x:c>
      <x:c r="O176" s="38" t="str">
        <x:f>IF(A176="","",IF(COUNTIF($A$5:$A$204,A176)&gt;1,"Duplicate Match ID",IF(OR(D176="",F176="",J176=""),"Missing fixture field",IF(OR(D176="TBD",F176="TBD",E176="",G176=""),"Unresolved placeholder fixture",IF(D176=F176,"Home and away same",IF(K176="","Missing venue display","OK"))))))</x:f>
      </x:c>
    </x:row>
    <x:row r="177" ht="15" hidden="0" customHeight="1">
      <x:c r="A177" s="38"/>
      <x:c r="B177" s="38"/>
      <x:c r="C177" s="38"/>
      <x:c r="D177" s="38"/>
      <x:c r="E177" s="38" t="str">
        <x:f>IFERROR(XLOOKUP(D177,Teams!$A$5:$A$36,Teams!$C$5:$C$36,""),D177)</x:f>
      </x:c>
      <x:c r="F177" s="38"/>
      <x:c r="G177" s="38" t="str">
        <x:f>IFERROR(XLOOKUP(F177,Teams!$A$5:$A$36,Teams!$C$5:$C$36,""),F177)</x:f>
      </x:c>
      <x:c r="H177" s="60"/>
      <x:c r="I177" s="38"/>
      <x:c r="J177" s="38"/>
      <x:c r="K177" s="38" t="str">
        <x:f>IFERROR(XLOOKUP(J177,Venues!$A$5:$A$24,Venues!$B$5:$B$24,""),"")</x:f>
      </x:c>
      <x:c r="L177" s="38"/>
      <x:c r="M177" s="38" t="str">
        <x:f>IF(A177="","",TEXT(H177,"yyyy-mm-dd")&amp;" | "&amp;A177&amp;" | "&amp;E177&amp;" v "&amp;G177&amp;" | "&amp;K177)</x:f>
      </x:c>
      <x:c r="N177" s="38" t="str">
        <x:f>IF(A177="","",IF(AND(L177="Scheduled",D177&lt;&gt;"TBD",F177&lt;&gt;"TBD",E177&lt;&gt;"",G177&lt;&gt;"",D177&lt;&gt;F177,J177&lt;&gt;"",K177&lt;&gt;""),"Yes","No"))</x:f>
      </x:c>
      <x:c r="O177" s="38" t="str">
        <x:f>IF(A177="","",IF(COUNTIF($A$5:$A$204,A177)&gt;1,"Duplicate Match ID",IF(OR(D177="",F177="",J177=""),"Missing fixture field",IF(OR(D177="TBD",F177="TBD",E177="",G177=""),"Unresolved placeholder fixture",IF(D177=F177,"Home and away same",IF(K177="","Missing venue display","OK"))))))</x:f>
      </x:c>
    </x:row>
    <x:row r="178" ht="15" hidden="0" customHeight="1">
      <x:c r="A178" s="38"/>
      <x:c r="B178" s="38"/>
      <x:c r="C178" s="38"/>
      <x:c r="D178" s="38"/>
      <x:c r="E178" s="38" t="str">
        <x:f>IFERROR(XLOOKUP(D178,Teams!$A$5:$A$36,Teams!$C$5:$C$36,""),D178)</x:f>
      </x:c>
      <x:c r="F178" s="38"/>
      <x:c r="G178" s="38" t="str">
        <x:f>IFERROR(XLOOKUP(F178,Teams!$A$5:$A$36,Teams!$C$5:$C$36,""),F178)</x:f>
      </x:c>
      <x:c r="H178" s="60"/>
      <x:c r="I178" s="38"/>
      <x:c r="J178" s="38"/>
      <x:c r="K178" s="38" t="str">
        <x:f>IFERROR(XLOOKUP(J178,Venues!$A$5:$A$24,Venues!$B$5:$B$24,""),"")</x:f>
      </x:c>
      <x:c r="L178" s="38"/>
      <x:c r="M178" s="38" t="str">
        <x:f>IF(A178="","",TEXT(H178,"yyyy-mm-dd")&amp;" | "&amp;A178&amp;" | "&amp;E178&amp;" v "&amp;G178&amp;" | "&amp;K178)</x:f>
      </x:c>
      <x:c r="N178" s="38" t="str">
        <x:f>IF(A178="","",IF(AND(L178="Scheduled",D178&lt;&gt;"TBD",F178&lt;&gt;"TBD",E178&lt;&gt;"",G178&lt;&gt;"",D178&lt;&gt;F178,J178&lt;&gt;"",K178&lt;&gt;""),"Yes","No"))</x:f>
      </x:c>
      <x:c r="O178" s="38" t="str">
        <x:f>IF(A178="","",IF(COUNTIF($A$5:$A$204,A178)&gt;1,"Duplicate Match ID",IF(OR(D178="",F178="",J178=""),"Missing fixture field",IF(OR(D178="TBD",F178="TBD",E178="",G178=""),"Unresolved placeholder fixture",IF(D178=F178,"Home and away same",IF(K178="","Missing venue display","OK"))))))</x:f>
      </x:c>
    </x:row>
    <x:row r="179" ht="15" hidden="0" customHeight="1">
      <x:c r="A179" s="38"/>
      <x:c r="B179" s="38"/>
      <x:c r="C179" s="38"/>
      <x:c r="D179" s="38"/>
      <x:c r="E179" s="38" t="str">
        <x:f>IFERROR(XLOOKUP(D179,Teams!$A$5:$A$36,Teams!$C$5:$C$36,""),D179)</x:f>
      </x:c>
      <x:c r="F179" s="38"/>
      <x:c r="G179" s="38" t="str">
        <x:f>IFERROR(XLOOKUP(F179,Teams!$A$5:$A$36,Teams!$C$5:$C$36,""),F179)</x:f>
      </x:c>
      <x:c r="H179" s="60"/>
      <x:c r="I179" s="38"/>
      <x:c r="J179" s="38"/>
      <x:c r="K179" s="38" t="str">
        <x:f>IFERROR(XLOOKUP(J179,Venues!$A$5:$A$24,Venues!$B$5:$B$24,""),"")</x:f>
      </x:c>
      <x:c r="L179" s="38"/>
      <x:c r="M179" s="38" t="str">
        <x:f>IF(A179="","",TEXT(H179,"yyyy-mm-dd")&amp;" | "&amp;A179&amp;" | "&amp;E179&amp;" v "&amp;G179&amp;" | "&amp;K179)</x:f>
      </x:c>
      <x:c r="N179" s="38" t="str">
        <x:f>IF(A179="","",IF(AND(L179="Scheduled",D179&lt;&gt;"TBD",F179&lt;&gt;"TBD",E179&lt;&gt;"",G179&lt;&gt;"",D179&lt;&gt;F179,J179&lt;&gt;"",K179&lt;&gt;""),"Yes","No"))</x:f>
      </x:c>
      <x:c r="O179" s="38" t="str">
        <x:f>IF(A179="","",IF(COUNTIF($A$5:$A$204,A179)&gt;1,"Duplicate Match ID",IF(OR(D179="",F179="",J179=""),"Missing fixture field",IF(OR(D179="TBD",F179="TBD",E179="",G179=""),"Unresolved placeholder fixture",IF(D179=F179,"Home and away same",IF(K179="","Missing venue display","OK"))))))</x:f>
      </x:c>
    </x:row>
    <x:row r="180" ht="15" hidden="0" customHeight="1">
      <x:c r="A180" s="38"/>
      <x:c r="B180" s="38"/>
      <x:c r="C180" s="38"/>
      <x:c r="D180" s="38"/>
      <x:c r="E180" s="38" t="str">
        <x:f>IFERROR(XLOOKUP(D180,Teams!$A$5:$A$36,Teams!$C$5:$C$36,""),D180)</x:f>
      </x:c>
      <x:c r="F180" s="38"/>
      <x:c r="G180" s="38" t="str">
        <x:f>IFERROR(XLOOKUP(F180,Teams!$A$5:$A$36,Teams!$C$5:$C$36,""),F180)</x:f>
      </x:c>
      <x:c r="H180" s="60"/>
      <x:c r="I180" s="38"/>
      <x:c r="J180" s="38"/>
      <x:c r="K180" s="38" t="str">
        <x:f>IFERROR(XLOOKUP(J180,Venues!$A$5:$A$24,Venues!$B$5:$B$24,""),"")</x:f>
      </x:c>
      <x:c r="L180" s="38"/>
      <x:c r="M180" s="38" t="str">
        <x:f>IF(A180="","",TEXT(H180,"yyyy-mm-dd")&amp;" | "&amp;A180&amp;" | "&amp;E180&amp;" v "&amp;G180&amp;" | "&amp;K180)</x:f>
      </x:c>
      <x:c r="N180" s="38" t="str">
        <x:f>IF(A180="","",IF(AND(L180="Scheduled",D180&lt;&gt;"TBD",F180&lt;&gt;"TBD",E180&lt;&gt;"",G180&lt;&gt;"",D180&lt;&gt;F180,J180&lt;&gt;"",K180&lt;&gt;""),"Yes","No"))</x:f>
      </x:c>
      <x:c r="O180" s="38" t="str">
        <x:f>IF(A180="","",IF(COUNTIF($A$5:$A$204,A180)&gt;1,"Duplicate Match ID",IF(OR(D180="",F180="",J180=""),"Missing fixture field",IF(OR(D180="TBD",F180="TBD",E180="",G180=""),"Unresolved placeholder fixture",IF(D180=F180,"Home and away same",IF(K180="","Missing venue display","OK"))))))</x:f>
      </x:c>
    </x:row>
    <x:row r="181" ht="15" hidden="0" customHeight="1">
      <x:c r="A181" s="38"/>
      <x:c r="B181" s="38"/>
      <x:c r="C181" s="38"/>
      <x:c r="D181" s="38"/>
      <x:c r="E181" s="38" t="str">
        <x:f>IFERROR(XLOOKUP(D181,Teams!$A$5:$A$36,Teams!$C$5:$C$36,""),D181)</x:f>
      </x:c>
      <x:c r="F181" s="38"/>
      <x:c r="G181" s="38" t="str">
        <x:f>IFERROR(XLOOKUP(F181,Teams!$A$5:$A$36,Teams!$C$5:$C$36,""),F181)</x:f>
      </x:c>
      <x:c r="H181" s="60"/>
      <x:c r="I181" s="38"/>
      <x:c r="J181" s="38"/>
      <x:c r="K181" s="38" t="str">
        <x:f>IFERROR(XLOOKUP(J181,Venues!$A$5:$A$24,Venues!$B$5:$B$24,""),"")</x:f>
      </x:c>
      <x:c r="L181" s="38"/>
      <x:c r="M181" s="38" t="str">
        <x:f>IF(A181="","",TEXT(H181,"yyyy-mm-dd")&amp;" | "&amp;A181&amp;" | "&amp;E181&amp;" v "&amp;G181&amp;" | "&amp;K181)</x:f>
      </x:c>
      <x:c r="N181" s="38" t="str">
        <x:f>IF(A181="","",IF(AND(L181="Scheduled",D181&lt;&gt;"TBD",F181&lt;&gt;"TBD",E181&lt;&gt;"",G181&lt;&gt;"",D181&lt;&gt;F181,J181&lt;&gt;"",K181&lt;&gt;""),"Yes","No"))</x:f>
      </x:c>
      <x:c r="O181" s="38" t="str">
        <x:f>IF(A181="","",IF(COUNTIF($A$5:$A$204,A181)&gt;1,"Duplicate Match ID",IF(OR(D181="",F181="",J181=""),"Missing fixture field",IF(OR(D181="TBD",F181="TBD",E181="",G181=""),"Unresolved placeholder fixture",IF(D181=F181,"Home and away same",IF(K181="","Missing venue display","OK"))))))</x:f>
      </x:c>
    </x:row>
    <x:row r="182" ht="15" hidden="0" customHeight="1">
      <x:c r="A182" s="38"/>
      <x:c r="B182" s="38"/>
      <x:c r="C182" s="38"/>
      <x:c r="D182" s="38"/>
      <x:c r="E182" s="38" t="str">
        <x:f>IFERROR(XLOOKUP(D182,Teams!$A$5:$A$36,Teams!$C$5:$C$36,""),D182)</x:f>
      </x:c>
      <x:c r="F182" s="38"/>
      <x:c r="G182" s="38" t="str">
        <x:f>IFERROR(XLOOKUP(F182,Teams!$A$5:$A$36,Teams!$C$5:$C$36,""),F182)</x:f>
      </x:c>
      <x:c r="H182" s="60"/>
      <x:c r="I182" s="38"/>
      <x:c r="J182" s="38"/>
      <x:c r="K182" s="38" t="str">
        <x:f>IFERROR(XLOOKUP(J182,Venues!$A$5:$A$24,Venues!$B$5:$B$24,""),"")</x:f>
      </x:c>
      <x:c r="L182" s="38"/>
      <x:c r="M182" s="38" t="str">
        <x:f>IF(A182="","",TEXT(H182,"yyyy-mm-dd")&amp;" | "&amp;A182&amp;" | "&amp;E182&amp;" v "&amp;G182&amp;" | "&amp;K182)</x:f>
      </x:c>
      <x:c r="N182" s="38" t="str">
        <x:f>IF(A182="","",IF(AND(L182="Scheduled",D182&lt;&gt;"TBD",F182&lt;&gt;"TBD",E182&lt;&gt;"",G182&lt;&gt;"",D182&lt;&gt;F182,J182&lt;&gt;"",K182&lt;&gt;""),"Yes","No"))</x:f>
      </x:c>
      <x:c r="O182" s="38" t="str">
        <x:f>IF(A182="","",IF(COUNTIF($A$5:$A$204,A182)&gt;1,"Duplicate Match ID",IF(OR(D182="",F182="",J182=""),"Missing fixture field",IF(OR(D182="TBD",F182="TBD",E182="",G182=""),"Unresolved placeholder fixture",IF(D182=F182,"Home and away same",IF(K182="","Missing venue display","OK"))))))</x:f>
      </x:c>
    </x:row>
    <x:row r="183" ht="15" hidden="0" customHeight="1">
      <x:c r="A183" s="38"/>
      <x:c r="B183" s="38"/>
      <x:c r="C183" s="38"/>
      <x:c r="D183" s="38"/>
      <x:c r="E183" s="38" t="str">
        <x:f>IFERROR(XLOOKUP(D183,Teams!$A$5:$A$36,Teams!$C$5:$C$36,""),D183)</x:f>
      </x:c>
      <x:c r="F183" s="38"/>
      <x:c r="G183" s="38" t="str">
        <x:f>IFERROR(XLOOKUP(F183,Teams!$A$5:$A$36,Teams!$C$5:$C$36,""),F183)</x:f>
      </x:c>
      <x:c r="H183" s="60"/>
      <x:c r="I183" s="38"/>
      <x:c r="J183" s="38"/>
      <x:c r="K183" s="38" t="str">
        <x:f>IFERROR(XLOOKUP(J183,Venues!$A$5:$A$24,Venues!$B$5:$B$24,""),"")</x:f>
      </x:c>
      <x:c r="L183" s="38"/>
      <x:c r="M183" s="38" t="str">
        <x:f>IF(A183="","",TEXT(H183,"yyyy-mm-dd")&amp;" | "&amp;A183&amp;" | "&amp;E183&amp;" v "&amp;G183&amp;" | "&amp;K183)</x:f>
      </x:c>
      <x:c r="N183" s="38" t="str">
        <x:f>IF(A183="","",IF(AND(L183="Scheduled",D183&lt;&gt;"TBD",F183&lt;&gt;"TBD",E183&lt;&gt;"",G183&lt;&gt;"",D183&lt;&gt;F183,J183&lt;&gt;"",K183&lt;&gt;""),"Yes","No"))</x:f>
      </x:c>
      <x:c r="O183" s="38" t="str">
        <x:f>IF(A183="","",IF(COUNTIF($A$5:$A$204,A183)&gt;1,"Duplicate Match ID",IF(OR(D183="",F183="",J183=""),"Missing fixture field",IF(OR(D183="TBD",F183="TBD",E183="",G183=""),"Unresolved placeholder fixture",IF(D183=F183,"Home and away same",IF(K183="","Missing venue display","OK"))))))</x:f>
      </x:c>
    </x:row>
    <x:row r="184" ht="15" hidden="0" customHeight="1">
      <x:c r="A184" s="38"/>
      <x:c r="B184" s="38"/>
      <x:c r="C184" s="38"/>
      <x:c r="D184" s="38"/>
      <x:c r="E184" s="38" t="str">
        <x:f>IFERROR(XLOOKUP(D184,Teams!$A$5:$A$36,Teams!$C$5:$C$36,""),D184)</x:f>
      </x:c>
      <x:c r="F184" s="38"/>
      <x:c r="G184" s="38" t="str">
        <x:f>IFERROR(XLOOKUP(F184,Teams!$A$5:$A$36,Teams!$C$5:$C$36,""),F184)</x:f>
      </x:c>
      <x:c r="H184" s="60"/>
      <x:c r="I184" s="38"/>
      <x:c r="J184" s="38"/>
      <x:c r="K184" s="38" t="str">
        <x:f>IFERROR(XLOOKUP(J184,Venues!$A$5:$A$24,Venues!$B$5:$B$24,""),"")</x:f>
      </x:c>
      <x:c r="L184" s="38"/>
      <x:c r="M184" s="38" t="str">
        <x:f>IF(A184="","",TEXT(H184,"yyyy-mm-dd")&amp;" | "&amp;A184&amp;" | "&amp;E184&amp;" v "&amp;G184&amp;" | "&amp;K184)</x:f>
      </x:c>
      <x:c r="N184" s="38" t="str">
        <x:f>IF(A184="","",IF(AND(L184="Scheduled",D184&lt;&gt;"TBD",F184&lt;&gt;"TBD",E184&lt;&gt;"",G184&lt;&gt;"",D184&lt;&gt;F184,J184&lt;&gt;"",K184&lt;&gt;""),"Yes","No"))</x:f>
      </x:c>
      <x:c r="O184" s="38" t="str">
        <x:f>IF(A184="","",IF(COUNTIF($A$5:$A$204,A184)&gt;1,"Duplicate Match ID",IF(OR(D184="",F184="",J184=""),"Missing fixture field",IF(OR(D184="TBD",F184="TBD",E184="",G184=""),"Unresolved placeholder fixture",IF(D184=F184,"Home and away same",IF(K184="","Missing venue display","OK"))))))</x:f>
      </x:c>
    </x:row>
    <x:row r="185" ht="15" hidden="0" customHeight="1">
      <x:c r="A185" s="38"/>
      <x:c r="B185" s="38"/>
      <x:c r="C185" s="38"/>
      <x:c r="D185" s="38"/>
      <x:c r="E185" s="38" t="str">
        <x:f>IFERROR(XLOOKUP(D185,Teams!$A$5:$A$36,Teams!$C$5:$C$36,""),D185)</x:f>
      </x:c>
      <x:c r="F185" s="38"/>
      <x:c r="G185" s="38" t="str">
        <x:f>IFERROR(XLOOKUP(F185,Teams!$A$5:$A$36,Teams!$C$5:$C$36,""),F185)</x:f>
      </x:c>
      <x:c r="H185" s="60"/>
      <x:c r="I185" s="38"/>
      <x:c r="J185" s="38"/>
      <x:c r="K185" s="38" t="str">
        <x:f>IFERROR(XLOOKUP(J185,Venues!$A$5:$A$24,Venues!$B$5:$B$24,""),"")</x:f>
      </x:c>
      <x:c r="L185" s="38"/>
      <x:c r="M185" s="38" t="str">
        <x:f>IF(A185="","",TEXT(H185,"yyyy-mm-dd")&amp;" | "&amp;A185&amp;" | "&amp;E185&amp;" v "&amp;G185&amp;" | "&amp;K185)</x:f>
      </x:c>
      <x:c r="N185" s="38" t="str">
        <x:f>IF(A185="","",IF(AND(L185="Scheduled",D185&lt;&gt;"TBD",F185&lt;&gt;"TBD",E185&lt;&gt;"",G185&lt;&gt;"",D185&lt;&gt;F185,J185&lt;&gt;"",K185&lt;&gt;""),"Yes","No"))</x:f>
      </x:c>
      <x:c r="O185" s="38" t="str">
        <x:f>IF(A185="","",IF(COUNTIF($A$5:$A$204,A185)&gt;1,"Duplicate Match ID",IF(OR(D185="",F185="",J185=""),"Missing fixture field",IF(OR(D185="TBD",F185="TBD",E185="",G185=""),"Unresolved placeholder fixture",IF(D185=F185,"Home and away same",IF(K185="","Missing venue display","OK"))))))</x:f>
      </x:c>
    </x:row>
    <x:row r="186" ht="15" hidden="0" customHeight="1">
      <x:c r="A186" s="38"/>
      <x:c r="B186" s="38"/>
      <x:c r="C186" s="38"/>
      <x:c r="D186" s="38"/>
      <x:c r="E186" s="38" t="str">
        <x:f>IFERROR(XLOOKUP(D186,Teams!$A$5:$A$36,Teams!$C$5:$C$36,""),D186)</x:f>
      </x:c>
      <x:c r="F186" s="38"/>
      <x:c r="G186" s="38" t="str">
        <x:f>IFERROR(XLOOKUP(F186,Teams!$A$5:$A$36,Teams!$C$5:$C$36,""),F186)</x:f>
      </x:c>
      <x:c r="H186" s="60"/>
      <x:c r="I186" s="38"/>
      <x:c r="J186" s="38"/>
      <x:c r="K186" s="38" t="str">
        <x:f>IFERROR(XLOOKUP(J186,Venues!$A$5:$A$24,Venues!$B$5:$B$24,""),"")</x:f>
      </x:c>
      <x:c r="L186" s="38"/>
      <x:c r="M186" s="38" t="str">
        <x:f>IF(A186="","",TEXT(H186,"yyyy-mm-dd")&amp;" | "&amp;A186&amp;" | "&amp;E186&amp;" v "&amp;G186&amp;" | "&amp;K186)</x:f>
      </x:c>
      <x:c r="N186" s="38" t="str">
        <x:f>IF(A186="","",IF(AND(L186="Scheduled",D186&lt;&gt;"TBD",F186&lt;&gt;"TBD",E186&lt;&gt;"",G186&lt;&gt;"",D186&lt;&gt;F186,J186&lt;&gt;"",K186&lt;&gt;""),"Yes","No"))</x:f>
      </x:c>
      <x:c r="O186" s="38" t="str">
        <x:f>IF(A186="","",IF(COUNTIF($A$5:$A$204,A186)&gt;1,"Duplicate Match ID",IF(OR(D186="",F186="",J186=""),"Missing fixture field",IF(OR(D186="TBD",F186="TBD",E186="",G186=""),"Unresolved placeholder fixture",IF(D186=F186,"Home and away same",IF(K186="","Missing venue display","OK"))))))</x:f>
      </x:c>
    </x:row>
    <x:row r="187" ht="15" hidden="0" customHeight="1">
      <x:c r="A187" s="38"/>
      <x:c r="B187" s="38"/>
      <x:c r="C187" s="38"/>
      <x:c r="D187" s="38"/>
      <x:c r="E187" s="38" t="str">
        <x:f>IFERROR(XLOOKUP(D187,Teams!$A$5:$A$36,Teams!$C$5:$C$36,""),D187)</x:f>
      </x:c>
      <x:c r="F187" s="38"/>
      <x:c r="G187" s="38" t="str">
        <x:f>IFERROR(XLOOKUP(F187,Teams!$A$5:$A$36,Teams!$C$5:$C$36,""),F187)</x:f>
      </x:c>
      <x:c r="H187" s="60"/>
      <x:c r="I187" s="38"/>
      <x:c r="J187" s="38"/>
      <x:c r="K187" s="38" t="str">
        <x:f>IFERROR(XLOOKUP(J187,Venues!$A$5:$A$24,Venues!$B$5:$B$24,""),"")</x:f>
      </x:c>
      <x:c r="L187" s="38"/>
      <x:c r="M187" s="38" t="str">
        <x:f>IF(A187="","",TEXT(H187,"yyyy-mm-dd")&amp;" | "&amp;A187&amp;" | "&amp;E187&amp;" v "&amp;G187&amp;" | "&amp;K187)</x:f>
      </x:c>
      <x:c r="N187" s="38" t="str">
        <x:f>IF(A187="","",IF(AND(L187="Scheduled",D187&lt;&gt;"TBD",F187&lt;&gt;"TBD",E187&lt;&gt;"",G187&lt;&gt;"",D187&lt;&gt;F187,J187&lt;&gt;"",K187&lt;&gt;""),"Yes","No"))</x:f>
      </x:c>
      <x:c r="O187" s="38" t="str">
        <x:f>IF(A187="","",IF(COUNTIF($A$5:$A$204,A187)&gt;1,"Duplicate Match ID",IF(OR(D187="",F187="",J187=""),"Missing fixture field",IF(OR(D187="TBD",F187="TBD",E187="",G187=""),"Unresolved placeholder fixture",IF(D187=F187,"Home and away same",IF(K187="","Missing venue display","OK"))))))</x:f>
      </x:c>
    </x:row>
    <x:row r="188" ht="15" hidden="0" customHeight="1">
      <x:c r="A188" s="38"/>
      <x:c r="B188" s="38"/>
      <x:c r="C188" s="38"/>
      <x:c r="D188" s="38"/>
      <x:c r="E188" s="38" t="str">
        <x:f>IFERROR(XLOOKUP(D188,Teams!$A$5:$A$36,Teams!$C$5:$C$36,""),D188)</x:f>
      </x:c>
      <x:c r="F188" s="38"/>
      <x:c r="G188" s="38" t="str">
        <x:f>IFERROR(XLOOKUP(F188,Teams!$A$5:$A$36,Teams!$C$5:$C$36,""),F188)</x:f>
      </x:c>
      <x:c r="H188" s="60"/>
      <x:c r="I188" s="38"/>
      <x:c r="J188" s="38"/>
      <x:c r="K188" s="38" t="str">
        <x:f>IFERROR(XLOOKUP(J188,Venues!$A$5:$A$24,Venues!$B$5:$B$24,""),"")</x:f>
      </x:c>
      <x:c r="L188" s="38"/>
      <x:c r="M188" s="38" t="str">
        <x:f>IF(A188="","",TEXT(H188,"yyyy-mm-dd")&amp;" | "&amp;A188&amp;" | "&amp;E188&amp;" v "&amp;G188&amp;" | "&amp;K188)</x:f>
      </x:c>
      <x:c r="N188" s="38" t="str">
        <x:f>IF(A188="","",IF(AND(L188="Scheduled",D188&lt;&gt;"TBD",F188&lt;&gt;"TBD",E188&lt;&gt;"",G188&lt;&gt;"",D188&lt;&gt;F188,J188&lt;&gt;"",K188&lt;&gt;""),"Yes","No"))</x:f>
      </x:c>
      <x:c r="O188" s="38" t="str">
        <x:f>IF(A188="","",IF(COUNTIF($A$5:$A$204,A188)&gt;1,"Duplicate Match ID",IF(OR(D188="",F188="",J188=""),"Missing fixture field",IF(OR(D188="TBD",F188="TBD",E188="",G188=""),"Unresolved placeholder fixture",IF(D188=F188,"Home and away same",IF(K188="","Missing venue display","OK"))))))</x:f>
      </x:c>
    </x:row>
    <x:row r="189" ht="15" hidden="0" customHeight="1">
      <x:c r="A189" s="38"/>
      <x:c r="B189" s="38"/>
      <x:c r="C189" s="38"/>
      <x:c r="D189" s="38"/>
      <x:c r="E189" s="38" t="str">
        <x:f>IFERROR(XLOOKUP(D189,Teams!$A$5:$A$36,Teams!$C$5:$C$36,""),D189)</x:f>
      </x:c>
      <x:c r="F189" s="38"/>
      <x:c r="G189" s="38" t="str">
        <x:f>IFERROR(XLOOKUP(F189,Teams!$A$5:$A$36,Teams!$C$5:$C$36,""),F189)</x:f>
      </x:c>
      <x:c r="H189" s="60"/>
      <x:c r="I189" s="38"/>
      <x:c r="J189" s="38"/>
      <x:c r="K189" s="38" t="str">
        <x:f>IFERROR(XLOOKUP(J189,Venues!$A$5:$A$24,Venues!$B$5:$B$24,""),"")</x:f>
      </x:c>
      <x:c r="L189" s="38"/>
      <x:c r="M189" s="38" t="str">
        <x:f>IF(A189="","",TEXT(H189,"yyyy-mm-dd")&amp;" | "&amp;A189&amp;" | "&amp;E189&amp;" v "&amp;G189&amp;" | "&amp;K189)</x:f>
      </x:c>
      <x:c r="N189" s="38" t="str">
        <x:f>IF(A189="","",IF(AND(L189="Scheduled",D189&lt;&gt;"TBD",F189&lt;&gt;"TBD",E189&lt;&gt;"",G189&lt;&gt;"",D189&lt;&gt;F189,J189&lt;&gt;"",K189&lt;&gt;""),"Yes","No"))</x:f>
      </x:c>
      <x:c r="O189" s="38" t="str">
        <x:f>IF(A189="","",IF(COUNTIF($A$5:$A$204,A189)&gt;1,"Duplicate Match ID",IF(OR(D189="",F189="",J189=""),"Missing fixture field",IF(OR(D189="TBD",F189="TBD",E189="",G189=""),"Unresolved placeholder fixture",IF(D189=F189,"Home and away same",IF(K189="","Missing venue display","OK"))))))</x:f>
      </x:c>
    </x:row>
    <x:row r="190" ht="15" hidden="0" customHeight="1">
      <x:c r="A190" s="38"/>
      <x:c r="B190" s="38"/>
      <x:c r="C190" s="38"/>
      <x:c r="D190" s="38"/>
      <x:c r="E190" s="38" t="str">
        <x:f>IFERROR(XLOOKUP(D190,Teams!$A$5:$A$36,Teams!$C$5:$C$36,""),D190)</x:f>
      </x:c>
      <x:c r="F190" s="38"/>
      <x:c r="G190" s="38" t="str">
        <x:f>IFERROR(XLOOKUP(F190,Teams!$A$5:$A$36,Teams!$C$5:$C$36,""),F190)</x:f>
      </x:c>
      <x:c r="H190" s="60"/>
      <x:c r="I190" s="38"/>
      <x:c r="J190" s="38"/>
      <x:c r="K190" s="38" t="str">
        <x:f>IFERROR(XLOOKUP(J190,Venues!$A$5:$A$24,Venues!$B$5:$B$24,""),"")</x:f>
      </x:c>
      <x:c r="L190" s="38"/>
      <x:c r="M190" s="38" t="str">
        <x:f>IF(A190="","",TEXT(H190,"yyyy-mm-dd")&amp;" | "&amp;A190&amp;" | "&amp;E190&amp;" v "&amp;G190&amp;" | "&amp;K190)</x:f>
      </x:c>
      <x:c r="N190" s="38" t="str">
        <x:f>IF(A190="","",IF(AND(L190="Scheduled",D190&lt;&gt;"TBD",F190&lt;&gt;"TBD",E190&lt;&gt;"",G190&lt;&gt;"",D190&lt;&gt;F190,J190&lt;&gt;"",K190&lt;&gt;""),"Yes","No"))</x:f>
      </x:c>
      <x:c r="O190" s="38" t="str">
        <x:f>IF(A190="","",IF(COUNTIF($A$5:$A$204,A190)&gt;1,"Duplicate Match ID",IF(OR(D190="",F190="",J190=""),"Missing fixture field",IF(OR(D190="TBD",F190="TBD",E190="",G190=""),"Unresolved placeholder fixture",IF(D190=F190,"Home and away same",IF(K190="","Missing venue display","OK"))))))</x:f>
      </x:c>
    </x:row>
    <x:row r="191" ht="15" hidden="0" customHeight="1">
      <x:c r="A191" s="38"/>
      <x:c r="B191" s="38"/>
      <x:c r="C191" s="38"/>
      <x:c r="D191" s="38"/>
      <x:c r="E191" s="38" t="str">
        <x:f>IFERROR(XLOOKUP(D191,Teams!$A$5:$A$36,Teams!$C$5:$C$36,""),D191)</x:f>
      </x:c>
      <x:c r="F191" s="38"/>
      <x:c r="G191" s="38" t="str">
        <x:f>IFERROR(XLOOKUP(F191,Teams!$A$5:$A$36,Teams!$C$5:$C$36,""),F191)</x:f>
      </x:c>
      <x:c r="H191" s="60"/>
      <x:c r="I191" s="38"/>
      <x:c r="J191" s="38"/>
      <x:c r="K191" s="38" t="str">
        <x:f>IFERROR(XLOOKUP(J191,Venues!$A$5:$A$24,Venues!$B$5:$B$24,""),"")</x:f>
      </x:c>
      <x:c r="L191" s="38"/>
      <x:c r="M191" s="38" t="str">
        <x:f>IF(A191="","",TEXT(H191,"yyyy-mm-dd")&amp;" | "&amp;A191&amp;" | "&amp;E191&amp;" v "&amp;G191&amp;" | "&amp;K191)</x:f>
      </x:c>
      <x:c r="N191" s="38" t="str">
        <x:f>IF(A191="","",IF(AND(L191="Scheduled",D191&lt;&gt;"TBD",F191&lt;&gt;"TBD",E191&lt;&gt;"",G191&lt;&gt;"",D191&lt;&gt;F191,J191&lt;&gt;"",K191&lt;&gt;""),"Yes","No"))</x:f>
      </x:c>
      <x:c r="O191" s="38" t="str">
        <x:f>IF(A191="","",IF(COUNTIF($A$5:$A$204,A191)&gt;1,"Duplicate Match ID",IF(OR(D191="",F191="",J191=""),"Missing fixture field",IF(OR(D191="TBD",F191="TBD",E191="",G191=""),"Unresolved placeholder fixture",IF(D191=F191,"Home and away same",IF(K191="","Missing venue display","OK"))))))</x:f>
      </x:c>
    </x:row>
    <x:row r="192" ht="15" hidden="0" customHeight="1">
      <x:c r="A192" s="38"/>
      <x:c r="B192" s="38"/>
      <x:c r="C192" s="38"/>
      <x:c r="D192" s="38"/>
      <x:c r="E192" s="38" t="str">
        <x:f>IFERROR(XLOOKUP(D192,Teams!$A$5:$A$36,Teams!$C$5:$C$36,""),D192)</x:f>
      </x:c>
      <x:c r="F192" s="38"/>
      <x:c r="G192" s="38" t="str">
        <x:f>IFERROR(XLOOKUP(F192,Teams!$A$5:$A$36,Teams!$C$5:$C$36,""),F192)</x:f>
      </x:c>
      <x:c r="H192" s="60"/>
      <x:c r="I192" s="38"/>
      <x:c r="J192" s="38"/>
      <x:c r="K192" s="38" t="str">
        <x:f>IFERROR(XLOOKUP(J192,Venues!$A$5:$A$24,Venues!$B$5:$B$24,""),"")</x:f>
      </x:c>
      <x:c r="L192" s="38"/>
      <x:c r="M192" s="38" t="str">
        <x:f>IF(A192="","",TEXT(H192,"yyyy-mm-dd")&amp;" | "&amp;A192&amp;" | "&amp;E192&amp;" v "&amp;G192&amp;" | "&amp;K192)</x:f>
      </x:c>
      <x:c r="N192" s="38" t="str">
        <x:f>IF(A192="","",IF(AND(L192="Scheduled",D192&lt;&gt;"TBD",F192&lt;&gt;"TBD",E192&lt;&gt;"",G192&lt;&gt;"",D192&lt;&gt;F192,J192&lt;&gt;"",K192&lt;&gt;""),"Yes","No"))</x:f>
      </x:c>
      <x:c r="O192" s="38" t="str">
        <x:f>IF(A192="","",IF(COUNTIF($A$5:$A$204,A192)&gt;1,"Duplicate Match ID",IF(OR(D192="",F192="",J192=""),"Missing fixture field",IF(OR(D192="TBD",F192="TBD",E192="",G192=""),"Unresolved placeholder fixture",IF(D192=F192,"Home and away same",IF(K192="","Missing venue display","OK"))))))</x:f>
      </x:c>
    </x:row>
    <x:row r="193" ht="15" hidden="0" customHeight="1">
      <x:c r="A193" s="38"/>
      <x:c r="B193" s="38"/>
      <x:c r="C193" s="38"/>
      <x:c r="D193" s="38"/>
      <x:c r="E193" s="38" t="str">
        <x:f>IFERROR(XLOOKUP(D193,Teams!$A$5:$A$36,Teams!$C$5:$C$36,""),D193)</x:f>
      </x:c>
      <x:c r="F193" s="38"/>
      <x:c r="G193" s="38" t="str">
        <x:f>IFERROR(XLOOKUP(F193,Teams!$A$5:$A$36,Teams!$C$5:$C$36,""),F193)</x:f>
      </x:c>
      <x:c r="H193" s="60"/>
      <x:c r="I193" s="38"/>
      <x:c r="J193" s="38"/>
      <x:c r="K193" s="38" t="str">
        <x:f>IFERROR(XLOOKUP(J193,Venues!$A$5:$A$24,Venues!$B$5:$B$24,""),"")</x:f>
      </x:c>
      <x:c r="L193" s="38"/>
      <x:c r="M193" s="38" t="str">
        <x:f>IF(A193="","",TEXT(H193,"yyyy-mm-dd")&amp;" | "&amp;A193&amp;" | "&amp;E193&amp;" v "&amp;G193&amp;" | "&amp;K193)</x:f>
      </x:c>
      <x:c r="N193" s="38" t="str">
        <x:f>IF(A193="","",IF(AND(L193="Scheduled",D193&lt;&gt;"TBD",F193&lt;&gt;"TBD",E193&lt;&gt;"",G193&lt;&gt;"",D193&lt;&gt;F193,J193&lt;&gt;"",K193&lt;&gt;""),"Yes","No"))</x:f>
      </x:c>
      <x:c r="O193" s="38" t="str">
        <x:f>IF(A193="","",IF(COUNTIF($A$5:$A$204,A193)&gt;1,"Duplicate Match ID",IF(OR(D193="",F193="",J193=""),"Missing fixture field",IF(OR(D193="TBD",F193="TBD",E193="",G193=""),"Unresolved placeholder fixture",IF(D193=F193,"Home and away same",IF(K193="","Missing venue display","OK"))))))</x:f>
      </x:c>
    </x:row>
    <x:row r="194" ht="15" hidden="0" customHeight="1">
      <x:c r="A194" s="38"/>
      <x:c r="B194" s="38"/>
      <x:c r="C194" s="38"/>
      <x:c r="D194" s="38"/>
      <x:c r="E194" s="38" t="str">
        <x:f>IFERROR(XLOOKUP(D194,Teams!$A$5:$A$36,Teams!$C$5:$C$36,""),D194)</x:f>
      </x:c>
      <x:c r="F194" s="38"/>
      <x:c r="G194" s="38" t="str">
        <x:f>IFERROR(XLOOKUP(F194,Teams!$A$5:$A$36,Teams!$C$5:$C$36,""),F194)</x:f>
      </x:c>
      <x:c r="H194" s="60"/>
      <x:c r="I194" s="38"/>
      <x:c r="J194" s="38"/>
      <x:c r="K194" s="38" t="str">
        <x:f>IFERROR(XLOOKUP(J194,Venues!$A$5:$A$24,Venues!$B$5:$B$24,""),"")</x:f>
      </x:c>
      <x:c r="L194" s="38"/>
      <x:c r="M194" s="38" t="str">
        <x:f>IF(A194="","",TEXT(H194,"yyyy-mm-dd")&amp;" | "&amp;A194&amp;" | "&amp;E194&amp;" v "&amp;G194&amp;" | "&amp;K194)</x:f>
      </x:c>
      <x:c r="N194" s="38" t="str">
        <x:f>IF(A194="","",IF(AND(L194="Scheduled",D194&lt;&gt;"TBD",F194&lt;&gt;"TBD",E194&lt;&gt;"",G194&lt;&gt;"",D194&lt;&gt;F194,J194&lt;&gt;"",K194&lt;&gt;""),"Yes","No"))</x:f>
      </x:c>
      <x:c r="O194" s="38" t="str">
        <x:f>IF(A194="","",IF(COUNTIF($A$5:$A$204,A194)&gt;1,"Duplicate Match ID",IF(OR(D194="",F194="",J194=""),"Missing fixture field",IF(OR(D194="TBD",F194="TBD",E194="",G194=""),"Unresolved placeholder fixture",IF(D194=F194,"Home and away same",IF(K194="","Missing venue display","OK"))))))</x:f>
      </x:c>
    </x:row>
    <x:row r="195" ht="15" hidden="0" customHeight="1">
      <x:c r="A195" s="38"/>
      <x:c r="B195" s="38"/>
      <x:c r="C195" s="38"/>
      <x:c r="D195" s="38"/>
      <x:c r="E195" s="38" t="str">
        <x:f>IFERROR(XLOOKUP(D195,Teams!$A$5:$A$36,Teams!$C$5:$C$36,""),D195)</x:f>
      </x:c>
      <x:c r="F195" s="38"/>
      <x:c r="G195" s="38" t="str">
        <x:f>IFERROR(XLOOKUP(F195,Teams!$A$5:$A$36,Teams!$C$5:$C$36,""),F195)</x:f>
      </x:c>
      <x:c r="H195" s="60"/>
      <x:c r="I195" s="38"/>
      <x:c r="J195" s="38"/>
      <x:c r="K195" s="38" t="str">
        <x:f>IFERROR(XLOOKUP(J195,Venues!$A$5:$A$24,Venues!$B$5:$B$24,""),"")</x:f>
      </x:c>
      <x:c r="L195" s="38"/>
      <x:c r="M195" s="38" t="str">
        <x:f>IF(A195="","",TEXT(H195,"yyyy-mm-dd")&amp;" | "&amp;A195&amp;" | "&amp;E195&amp;" v "&amp;G195&amp;" | "&amp;K195)</x:f>
      </x:c>
      <x:c r="N195" s="38" t="str">
        <x:f>IF(A195="","",IF(AND(L195="Scheduled",D195&lt;&gt;"TBD",F195&lt;&gt;"TBD",E195&lt;&gt;"",G195&lt;&gt;"",D195&lt;&gt;F195,J195&lt;&gt;"",K195&lt;&gt;""),"Yes","No"))</x:f>
      </x:c>
      <x:c r="O195" s="38" t="str">
        <x:f>IF(A195="","",IF(COUNTIF($A$5:$A$204,A195)&gt;1,"Duplicate Match ID",IF(OR(D195="",F195="",J195=""),"Missing fixture field",IF(OR(D195="TBD",F195="TBD",E195="",G195=""),"Unresolved placeholder fixture",IF(D195=F195,"Home and away same",IF(K195="","Missing venue display","OK"))))))</x:f>
      </x:c>
    </x:row>
    <x:row r="196" ht="15" hidden="0" customHeight="1">
      <x:c r="A196" s="38"/>
      <x:c r="B196" s="38"/>
      <x:c r="C196" s="38"/>
      <x:c r="D196" s="38"/>
      <x:c r="E196" s="38" t="str">
        <x:f>IFERROR(XLOOKUP(D196,Teams!$A$5:$A$36,Teams!$C$5:$C$36,""),D196)</x:f>
      </x:c>
      <x:c r="F196" s="38"/>
      <x:c r="G196" s="38" t="str">
        <x:f>IFERROR(XLOOKUP(F196,Teams!$A$5:$A$36,Teams!$C$5:$C$36,""),F196)</x:f>
      </x:c>
      <x:c r="H196" s="60"/>
      <x:c r="I196" s="38"/>
      <x:c r="J196" s="38"/>
      <x:c r="K196" s="38" t="str">
        <x:f>IFERROR(XLOOKUP(J196,Venues!$A$5:$A$24,Venues!$B$5:$B$24,""),"")</x:f>
      </x:c>
      <x:c r="L196" s="38"/>
      <x:c r="M196" s="38" t="str">
        <x:f>IF(A196="","",TEXT(H196,"yyyy-mm-dd")&amp;" | "&amp;A196&amp;" | "&amp;E196&amp;" v "&amp;G196&amp;" | "&amp;K196)</x:f>
      </x:c>
      <x:c r="N196" s="38" t="str">
        <x:f>IF(A196="","",IF(AND(L196="Scheduled",D196&lt;&gt;"TBD",F196&lt;&gt;"TBD",E196&lt;&gt;"",G196&lt;&gt;"",D196&lt;&gt;F196,J196&lt;&gt;"",K196&lt;&gt;""),"Yes","No"))</x:f>
      </x:c>
      <x:c r="O196" s="38" t="str">
        <x:f>IF(A196="","",IF(COUNTIF($A$5:$A$204,A196)&gt;1,"Duplicate Match ID",IF(OR(D196="",F196="",J196=""),"Missing fixture field",IF(OR(D196="TBD",F196="TBD",E196="",G196=""),"Unresolved placeholder fixture",IF(D196=F196,"Home and away same",IF(K196="","Missing venue display","OK"))))))</x:f>
      </x:c>
    </x:row>
    <x:row r="197" ht="15" hidden="0" customHeight="1">
      <x:c r="A197" s="38"/>
      <x:c r="B197" s="38"/>
      <x:c r="C197" s="38"/>
      <x:c r="D197" s="38"/>
      <x:c r="E197" s="38" t="str">
        <x:f>IFERROR(XLOOKUP(D197,Teams!$A$5:$A$36,Teams!$C$5:$C$36,""),D197)</x:f>
      </x:c>
      <x:c r="F197" s="38"/>
      <x:c r="G197" s="38" t="str">
        <x:f>IFERROR(XLOOKUP(F197,Teams!$A$5:$A$36,Teams!$C$5:$C$36,""),F197)</x:f>
      </x:c>
      <x:c r="H197" s="60"/>
      <x:c r="I197" s="38"/>
      <x:c r="J197" s="38"/>
      <x:c r="K197" s="38" t="str">
        <x:f>IFERROR(XLOOKUP(J197,Venues!$A$5:$A$24,Venues!$B$5:$B$24,""),"")</x:f>
      </x:c>
      <x:c r="L197" s="38"/>
      <x:c r="M197" s="38" t="str">
        <x:f>IF(A197="","",TEXT(H197,"yyyy-mm-dd")&amp;" | "&amp;A197&amp;" | "&amp;E197&amp;" v "&amp;G197&amp;" | "&amp;K197)</x:f>
      </x:c>
      <x:c r="N197" s="38" t="str">
        <x:f>IF(A197="","",IF(AND(L197="Scheduled",D197&lt;&gt;"TBD",F197&lt;&gt;"TBD",E197&lt;&gt;"",G197&lt;&gt;"",D197&lt;&gt;F197,J197&lt;&gt;"",K197&lt;&gt;""),"Yes","No"))</x:f>
      </x:c>
      <x:c r="O197" s="38" t="str">
        <x:f>IF(A197="","",IF(COUNTIF($A$5:$A$204,A197)&gt;1,"Duplicate Match ID",IF(OR(D197="",F197="",J197=""),"Missing fixture field",IF(OR(D197="TBD",F197="TBD",E197="",G197=""),"Unresolved placeholder fixture",IF(D197=F197,"Home and away same",IF(K197="","Missing venue display","OK"))))))</x:f>
      </x:c>
    </x:row>
    <x:row r="198" ht="15" hidden="0" customHeight="1">
      <x:c r="A198" s="38"/>
      <x:c r="B198" s="38"/>
      <x:c r="C198" s="38"/>
      <x:c r="D198" s="38"/>
      <x:c r="E198" s="38" t="str">
        <x:f>IFERROR(XLOOKUP(D198,Teams!$A$5:$A$36,Teams!$C$5:$C$36,""),D198)</x:f>
      </x:c>
      <x:c r="F198" s="38"/>
      <x:c r="G198" s="38" t="str">
        <x:f>IFERROR(XLOOKUP(F198,Teams!$A$5:$A$36,Teams!$C$5:$C$36,""),F198)</x:f>
      </x:c>
      <x:c r="H198" s="60"/>
      <x:c r="I198" s="38"/>
      <x:c r="J198" s="38"/>
      <x:c r="K198" s="38" t="str">
        <x:f>IFERROR(XLOOKUP(J198,Venues!$A$5:$A$24,Venues!$B$5:$B$24,""),"")</x:f>
      </x:c>
      <x:c r="L198" s="38"/>
      <x:c r="M198" s="38" t="str">
        <x:f>IF(A198="","",TEXT(H198,"yyyy-mm-dd")&amp;" | "&amp;A198&amp;" | "&amp;E198&amp;" v "&amp;G198&amp;" | "&amp;K198)</x:f>
      </x:c>
      <x:c r="N198" s="38" t="str">
        <x:f>IF(A198="","",IF(AND(L198="Scheduled",D198&lt;&gt;"TBD",F198&lt;&gt;"TBD",E198&lt;&gt;"",G198&lt;&gt;"",D198&lt;&gt;F198,J198&lt;&gt;"",K198&lt;&gt;""),"Yes","No"))</x:f>
      </x:c>
      <x:c r="O198" s="38" t="str">
        <x:f>IF(A198="","",IF(COUNTIF($A$5:$A$204,A198)&gt;1,"Duplicate Match ID",IF(OR(D198="",F198="",J198=""),"Missing fixture field",IF(OR(D198="TBD",F198="TBD",E198="",G198=""),"Unresolved placeholder fixture",IF(D198=F198,"Home and away same",IF(K198="","Missing venue display","OK"))))))</x:f>
      </x:c>
    </x:row>
    <x:row r="199" ht="15" hidden="0" customHeight="1">
      <x:c r="A199" s="38"/>
      <x:c r="B199" s="38"/>
      <x:c r="C199" s="38"/>
      <x:c r="D199" s="38"/>
      <x:c r="E199" s="38" t="str">
        <x:f>IFERROR(XLOOKUP(D199,Teams!$A$5:$A$36,Teams!$C$5:$C$36,""),D199)</x:f>
      </x:c>
      <x:c r="F199" s="38"/>
      <x:c r="G199" s="38" t="str">
        <x:f>IFERROR(XLOOKUP(F199,Teams!$A$5:$A$36,Teams!$C$5:$C$36,""),F199)</x:f>
      </x:c>
      <x:c r="H199" s="60"/>
      <x:c r="I199" s="38"/>
      <x:c r="J199" s="38"/>
      <x:c r="K199" s="38" t="str">
        <x:f>IFERROR(XLOOKUP(J199,Venues!$A$5:$A$24,Venues!$B$5:$B$24,""),"")</x:f>
      </x:c>
      <x:c r="L199" s="38"/>
      <x:c r="M199" s="38" t="str">
        <x:f>IF(A199="","",TEXT(H199,"yyyy-mm-dd")&amp;" | "&amp;A199&amp;" | "&amp;E199&amp;" v "&amp;G199&amp;" | "&amp;K199)</x:f>
      </x:c>
      <x:c r="N199" s="38" t="str">
        <x:f>IF(A199="","",IF(AND(L199="Scheduled",D199&lt;&gt;"TBD",F199&lt;&gt;"TBD",E199&lt;&gt;"",G199&lt;&gt;"",D199&lt;&gt;F199,J199&lt;&gt;"",K199&lt;&gt;""),"Yes","No"))</x:f>
      </x:c>
      <x:c r="O199" s="38" t="str">
        <x:f>IF(A199="","",IF(COUNTIF($A$5:$A$204,A199)&gt;1,"Duplicate Match ID",IF(OR(D199="",F199="",J199=""),"Missing fixture field",IF(OR(D199="TBD",F199="TBD",E199="",G199=""),"Unresolved placeholder fixture",IF(D199=F199,"Home and away same",IF(K199="","Missing venue display","OK"))))))</x:f>
      </x:c>
    </x:row>
    <x:row r="200" ht="15" hidden="0" customHeight="1">
      <x:c r="A200" s="38"/>
      <x:c r="B200" s="38"/>
      <x:c r="C200" s="38"/>
      <x:c r="D200" s="38"/>
      <x:c r="E200" s="38" t="str">
        <x:f>IFERROR(XLOOKUP(D200,Teams!$A$5:$A$36,Teams!$C$5:$C$36,""),D200)</x:f>
      </x:c>
      <x:c r="F200" s="38"/>
      <x:c r="G200" s="38" t="str">
        <x:f>IFERROR(XLOOKUP(F200,Teams!$A$5:$A$36,Teams!$C$5:$C$36,""),F200)</x:f>
      </x:c>
      <x:c r="H200" s="60"/>
      <x:c r="I200" s="38"/>
      <x:c r="J200" s="38"/>
      <x:c r="K200" s="38" t="str">
        <x:f>IFERROR(XLOOKUP(J200,Venues!$A$5:$A$24,Venues!$B$5:$B$24,""),"")</x:f>
      </x:c>
      <x:c r="L200" s="38"/>
      <x:c r="M200" s="38" t="str">
        <x:f>IF(A200="","",TEXT(H200,"yyyy-mm-dd")&amp;" | "&amp;A200&amp;" | "&amp;E200&amp;" v "&amp;G200&amp;" | "&amp;K200)</x:f>
      </x:c>
      <x:c r="N200" s="38" t="str">
        <x:f>IF(A200="","",IF(AND(L200="Scheduled",D200&lt;&gt;"TBD",F200&lt;&gt;"TBD",E200&lt;&gt;"",G200&lt;&gt;"",D200&lt;&gt;F200,J200&lt;&gt;"",K200&lt;&gt;""),"Yes","No"))</x:f>
      </x:c>
      <x:c r="O200" s="38" t="str">
        <x:f>IF(A200="","",IF(COUNTIF($A$5:$A$204,A200)&gt;1,"Duplicate Match ID",IF(OR(D200="",F200="",J200=""),"Missing fixture field",IF(OR(D200="TBD",F200="TBD",E200="",G200=""),"Unresolved placeholder fixture",IF(D200=F200,"Home and away same",IF(K200="","Missing venue display","OK"))))))</x:f>
      </x:c>
    </x:row>
    <x:row r="201" ht="15" hidden="0" customHeight="1">
      <x:c r="A201" s="38"/>
      <x:c r="B201" s="38"/>
      <x:c r="C201" s="38"/>
      <x:c r="D201" s="38"/>
      <x:c r="E201" s="38" t="str">
        <x:f>IFERROR(XLOOKUP(D201,Teams!$A$5:$A$36,Teams!$C$5:$C$36,""),D201)</x:f>
      </x:c>
      <x:c r="F201" s="38"/>
      <x:c r="G201" s="38" t="str">
        <x:f>IFERROR(XLOOKUP(F201,Teams!$A$5:$A$36,Teams!$C$5:$C$36,""),F201)</x:f>
      </x:c>
      <x:c r="H201" s="60"/>
      <x:c r="I201" s="38"/>
      <x:c r="J201" s="38"/>
      <x:c r="K201" s="38" t="str">
        <x:f>IFERROR(XLOOKUP(J201,Venues!$A$5:$A$24,Venues!$B$5:$B$24,""),"")</x:f>
      </x:c>
      <x:c r="L201" s="38"/>
      <x:c r="M201" s="38" t="str">
        <x:f>IF(A201="","",TEXT(H201,"yyyy-mm-dd")&amp;" | "&amp;A201&amp;" | "&amp;E201&amp;" v "&amp;G201&amp;" | "&amp;K201)</x:f>
      </x:c>
      <x:c r="N201" s="38" t="str">
        <x:f>IF(A201="","",IF(AND(L201="Scheduled",D201&lt;&gt;"TBD",F201&lt;&gt;"TBD",E201&lt;&gt;"",G201&lt;&gt;"",D201&lt;&gt;F201,J201&lt;&gt;"",K201&lt;&gt;""),"Yes","No"))</x:f>
      </x:c>
      <x:c r="O201" s="38" t="str">
        <x:f>IF(A201="","",IF(COUNTIF($A$5:$A$204,A201)&gt;1,"Duplicate Match ID",IF(OR(D201="",F201="",J201=""),"Missing fixture field",IF(OR(D201="TBD",F201="TBD",E201="",G201=""),"Unresolved placeholder fixture",IF(D201=F201,"Home and away same",IF(K201="","Missing venue display","OK"))))))</x:f>
      </x:c>
    </x:row>
    <x:row r="202" ht="15" hidden="0" customHeight="1">
      <x:c r="A202" s="38"/>
      <x:c r="B202" s="38"/>
      <x:c r="C202" s="38"/>
      <x:c r="D202" s="38"/>
      <x:c r="E202" s="38" t="str">
        <x:f>IFERROR(XLOOKUP(D202,Teams!$A$5:$A$36,Teams!$C$5:$C$36,""),D202)</x:f>
      </x:c>
      <x:c r="F202" s="38"/>
      <x:c r="G202" s="38" t="str">
        <x:f>IFERROR(XLOOKUP(F202,Teams!$A$5:$A$36,Teams!$C$5:$C$36,""),F202)</x:f>
      </x:c>
      <x:c r="H202" s="60"/>
      <x:c r="I202" s="38"/>
      <x:c r="J202" s="38"/>
      <x:c r="K202" s="38" t="str">
        <x:f>IFERROR(XLOOKUP(J202,Venues!$A$5:$A$24,Venues!$B$5:$B$24,""),"")</x:f>
      </x:c>
      <x:c r="L202" s="38"/>
      <x:c r="M202" s="38" t="str">
        <x:f>IF(A202="","",TEXT(H202,"yyyy-mm-dd")&amp;" | "&amp;A202&amp;" | "&amp;E202&amp;" v "&amp;G202&amp;" | "&amp;K202)</x:f>
      </x:c>
      <x:c r="N202" s="38" t="str">
        <x:f>IF(A202="","",IF(AND(L202="Scheduled",D202&lt;&gt;"TBD",F202&lt;&gt;"TBD",E202&lt;&gt;"",G202&lt;&gt;"",D202&lt;&gt;F202,J202&lt;&gt;"",K202&lt;&gt;""),"Yes","No"))</x:f>
      </x:c>
      <x:c r="O202" s="38" t="str">
        <x:f>IF(A202="","",IF(COUNTIF($A$5:$A$204,A202)&gt;1,"Duplicate Match ID",IF(OR(D202="",F202="",J202=""),"Missing fixture field",IF(OR(D202="TBD",F202="TBD",E202="",G202=""),"Unresolved placeholder fixture",IF(D202=F202,"Home and away same",IF(K202="","Missing venue display","OK"))))))</x:f>
      </x:c>
    </x:row>
    <x:row r="203" ht="15" hidden="0" customHeight="1">
      <x:c r="A203" s="38"/>
      <x:c r="B203" s="38"/>
      <x:c r="C203" s="38"/>
      <x:c r="D203" s="38"/>
      <x:c r="E203" s="38" t="str">
        <x:f>IFERROR(XLOOKUP(D203,Teams!$A$5:$A$36,Teams!$C$5:$C$36,""),D203)</x:f>
      </x:c>
      <x:c r="F203" s="38"/>
      <x:c r="G203" s="38" t="str">
        <x:f>IFERROR(XLOOKUP(F203,Teams!$A$5:$A$36,Teams!$C$5:$C$36,""),F203)</x:f>
      </x:c>
      <x:c r="H203" s="60"/>
      <x:c r="I203" s="38"/>
      <x:c r="J203" s="38"/>
      <x:c r="K203" s="38" t="str">
        <x:f>IFERROR(XLOOKUP(J203,Venues!$A$5:$A$24,Venues!$B$5:$B$24,""),"")</x:f>
      </x:c>
      <x:c r="L203" s="38"/>
      <x:c r="M203" s="38" t="str">
        <x:f>IF(A203="","",TEXT(H203,"yyyy-mm-dd")&amp;" | "&amp;A203&amp;" | "&amp;E203&amp;" v "&amp;G203&amp;" | "&amp;K203)</x:f>
      </x:c>
      <x:c r="N203" s="38" t="str">
        <x:f>IF(A203="","",IF(AND(L203="Scheduled",D203&lt;&gt;"TBD",F203&lt;&gt;"TBD",E203&lt;&gt;"",G203&lt;&gt;"",D203&lt;&gt;F203,J203&lt;&gt;"",K203&lt;&gt;""),"Yes","No"))</x:f>
      </x:c>
      <x:c r="O203" s="38" t="str">
        <x:f>IF(A203="","",IF(COUNTIF($A$5:$A$204,A203)&gt;1,"Duplicate Match ID",IF(OR(D203="",F203="",J203=""),"Missing fixture field",IF(OR(D203="TBD",F203="TBD",E203="",G203=""),"Unresolved placeholder fixture",IF(D203=F203,"Home and away same",IF(K203="","Missing venue display","OK"))))))</x:f>
      </x:c>
    </x:row>
    <x:row r="204" ht="15" hidden="0" customHeight="1">
      <x:c r="A204" s="38"/>
      <x:c r="B204" s="38"/>
      <x:c r="C204" s="38"/>
      <x:c r="D204" s="38"/>
      <x:c r="E204" s="38" t="str">
        <x:f>IFERROR(XLOOKUP(D204,Teams!$A$5:$A$36,Teams!$C$5:$C$36,""),D204)</x:f>
      </x:c>
      <x:c r="F204" s="38"/>
      <x:c r="G204" s="38" t="str">
        <x:f>IFERROR(XLOOKUP(F204,Teams!$A$5:$A$36,Teams!$C$5:$C$36,""),F204)</x:f>
      </x:c>
      <x:c r="H204" s="60"/>
      <x:c r="I204" s="38"/>
      <x:c r="J204" s="38"/>
      <x:c r="K204" s="38" t="str">
        <x:f>IFERROR(XLOOKUP(J204,Venues!$A$5:$A$24,Venues!$B$5:$B$24,""),"")</x:f>
      </x:c>
      <x:c r="L204" s="38"/>
      <x:c r="M204" s="38" t="str">
        <x:f>IF(A204="","",TEXT(H204,"yyyy-mm-dd")&amp;" | "&amp;A204&amp;" | "&amp;E204&amp;" v "&amp;G204&amp;" | "&amp;K204)</x:f>
      </x:c>
      <x:c r="N204" s="38" t="str">
        <x:f>IF(A204="","",IF(AND(L204="Scheduled",D204&lt;&gt;"TBD",F204&lt;&gt;"TBD",E204&lt;&gt;"",G204&lt;&gt;"",D204&lt;&gt;F204,J204&lt;&gt;"",K204&lt;&gt;""),"Yes","No"))</x:f>
      </x:c>
      <x:c r="O204" s="38" t="str">
        <x:f>IF(A204="","",IF(COUNTIF($A$5:$A$204,A204)&gt;1,"Duplicate Match ID",IF(OR(D204="",F204="",J204=""),"Missing fixture field",IF(OR(D204="TBD",F204="TBD",E204="",G204=""),"Unresolved placeholder fixture",IF(D204=F204,"Home and away same",IF(K204="","Missing venue display","OK"))))))</x:f>
      </x:c>
    </x:row>
  </x:sheetData>
  <x:mergeCells>
    <x:mergeCell ref="A1:H1"/>
    <x:mergeCell ref="A2:H2"/>
  </x:mergeCells>
  <x:dataValidations count="1">
    <x:dataValidation type="list" sqref="L5:L204">
      <x:formula1>"Scheduled,Played,Postponed,Abandoned,Void,Walkover"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88621bf6294824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1.5" hidden="0" customWidth="1"/>
    <x:col min="2" max="2" width="14.630000114440918" hidden="0" customWidth="1"/>
    <x:col min="3" max="3" width="24.25" hidden="0" customWidth="1"/>
    <x:col min="4" max="4" width="10" hidden="0" customWidth="1"/>
    <x:col min="5" max="5" width="42.75" hidden="0" customWidth="1"/>
    <x:col min="6" max="6" width="18.75" hidden="0" customWidth="1"/>
    <x:col min="7" max="7" width="18.5" hidden="0" customWidth="1"/>
    <x:col min="8" max="8" width="21.3799991607666" hidden="0" customWidth="1"/>
    <x:col min="9" max="9" width="21.1299991607666" hidden="0" customWidth="1"/>
    <x:col min="10" max="10" width="13.380000114440918" hidden="0" customWidth="1"/>
    <x:col min="11" max="11" width="23.3799991607666" hidden="0" customWidth="1"/>
    <x:col min="12" max="12" width="17.75" hidden="0" customWidth="1"/>
    <x:col min="13" max="13" width="13.75" hidden="0" customWidth="1"/>
    <x:col min="14" max="14" width="14.880000114440918" hidden="0" customWidth="1"/>
    <x:col min="15" max="15" width="27.75" hidden="0" customWidth="1"/>
    <x:col min="16" max="16" width="19.3799991607666" hidden="0" customWidth="1"/>
    <x:col min="17" max="17" width="14.25" hidden="0" customWidth="1"/>
    <x:col min="18" max="18" width="19.1299991607666" hidden="0" customWidth="1"/>
    <x:col min="19" max="19" width="21.25" hidden="0" customWidth="1"/>
    <x:col min="20" max="20" width="27.3799991607666" hidden="0" customWidth="1"/>
    <x:col min="21" max="21" width="24.5" hidden="0" customWidth="1"/>
    <x:col min="22" max="22" width="32.380001068115234" hidden="0" customWidth="1"/>
    <x:col min="23" max="23" width="32.130001068115234" hidden="0" customWidth="1"/>
    <x:col min="24" max="24" width="22.8799991607666" hidden="0" customWidth="1"/>
    <x:col min="25" max="25" width="22.6299991607666" hidden="0" customWidth="1"/>
    <x:col min="26" max="26" width="23.25" hidden="0" customWidth="1"/>
    <x:col min="27" max="27" width="21.25" hidden="0" customWidth="1"/>
  </x:cols>
  <x:sheetData>
    <x:row r="1" ht="15" hidden="0" customHeight="1">
      <x:c r="A1" s="47" t="str">
        <x:v>Result Review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</x:row>
    <x:row r="2" ht="15" hidden="0" customHeight="1">
      <x:c r="A2" s="38" t="str">
        <x:v>Every form submission and correction is reviewed here.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</x:row>
    <x:row r="4" ht="15" hidden="0" customHeight="1">
      <x:c r="A4" s="39" t="str">
        <x:v>Submission Timestamp</x:v>
      </x:c>
      <x:c r="B4" s="40" t="str">
        <x:v>Submission ID</x:v>
      </x:c>
      <x:c r="C4" s="40" t="str">
        <x:v>Submission Type</x:v>
      </x:c>
      <x:c r="D4" s="40" t="str">
        <x:v>Match ID</x:v>
      </x:c>
      <x:c r="E4" s="40" t="str">
        <x:v>Fixture Label Submitted</x:v>
      </x:c>
      <x:c r="F4" s="40" t="str">
        <x:v>Home Team Display</x:v>
      </x:c>
      <x:c r="G4" s="40" t="str">
        <x:v>Away Team Display</x:v>
      </x:c>
      <x:c r="H4" s="40" t="str">
        <x:v>Submitted Home Score</x:v>
      </x:c>
      <x:c r="I4" s="40" t="str">
        <x:v>Submitted Away Score</x:v>
      </x:c>
      <x:c r="J4" s="40" t="str">
        <x:v>Match Status</x:v>
      </x:c>
      <x:c r="K4" s="40" t="str">
        <x:v>Walkover Winner Team ID</x:v>
      </x:c>
      <x:c r="L4" s="40" t="str">
        <x:v>Match Date Played</x:v>
      </x:c>
      <x:c r="M4" s="40" t="str">
        <x:v>Submitted By</x:v>
      </x:c>
      <x:c r="N4" s="40" t="str">
        <x:v>Submitter Role</x:v>
      </x:c>
      <x:c r="O4" s="40" t="str">
        <x:v>Notes</x:v>
      </x:c>
      <x:c r="P4" s="40" t="str">
        <x:v>Optional Scorer Text</x:v>
      </x:c>
      <x:c r="Q4" s="40" t="str">
        <x:v>Evidence Link</x:v>
      </x:c>
      <x:c r="R4" s="40" t="str">
        <x:v>Review Status</x:v>
      </x:c>
      <x:c r="S4" s="40" t="str">
        <x:v>Approved Current Flag</x:v>
      </x:c>
      <x:c r="T4" s="40" t="str">
        <x:v>Review Notes</x:v>
      </x:c>
      <x:c r="U4" s="40" t="str">
        <x:v>Supersedes Submission ID</x:v>
      </x:c>
      <x:c r="V4" s="40" t="str">
        <x:v>Manual Official Home Score Override</x:v>
      </x:c>
      <x:c r="W4" s="40" t="str">
        <x:v>Manual Official Away Score Override</x:v>
      </x:c>
      <x:c r="X4" s="40" t="str">
        <x:v>Official Home Score Calc</x:v>
      </x:c>
      <x:c r="Y4" s="40" t="str">
        <x:v>Official Away Score Calc</x:v>
      </x:c>
      <x:c r="Z4" s="40" t="str">
        <x:v>Counts In Standings Calc</x:v>
      </x:c>
      <x:c r="AA4" s="41" t="str">
        <x:v>Current Validation Flag</x:v>
      </x:c>
    </x:row>
    <x:row r="5" ht="15" hidden="0" customHeight="1">
      <x:c r="A5" s="65" t="n">
        <x:v>46215.375</x:v>
      </x:c>
      <x:c r="B5" s="38" t="str">
        <x:v>S001</x:v>
      </x:c>
      <x:c r="C5" s="38" t="str">
        <x:v>New Result</x:v>
      </x:c>
      <x:c r="D5" s="38" t="str">
        <x:v>M001</x:v>
      </x:c>
      <x:c r="E5" s="38" t="str">
        <x:f>IFERROR(XLOOKUP(D5,Fixtures!$A$5:$A$204,Fixtures!$M$5:$M$204,""),"")</x:f>
        <x:v>2026-07-12 | M001 | River Park v Lakeside | Pitch 1</x:v>
      </x:c>
      <x:c r="F5" s="38" t="str">
        <x:f>IFERROR(XLOOKUP(D5,Fixtures!$A$5:$A$204,Fixtures!$E$5:$E$204,""),"")</x:f>
        <x:v>River Park</x:v>
      </x:c>
      <x:c r="G5" s="38" t="str">
        <x:f>IFERROR(XLOOKUP(D5,Fixtures!$A$5:$A$204,Fixtures!$G$5:$G$204,""),"")</x:f>
        <x:v>Lakeside</x:v>
      </x:c>
      <x:c r="H5" s="38" t="n">
        <x:v>2</x:v>
      </x:c>
      <x:c r="I5" s="38" t="n">
        <x:v>1</x:v>
      </x:c>
      <x:c r="J5" s="38" t="str">
        <x:v>Played</x:v>
      </x:c>
      <x:c r="K5" s="38" t="str"/>
      <x:c r="L5" s="60" t="n">
        <x:v>46215</x:v>
      </x:c>
      <x:c r="M5" s="38" t="str">
        <x:v>Alex Morgan</x:v>
      </x:c>
      <x:c r="N5" s="38" t="str">
        <x:v>Team Coach</x:v>
      </x:c>
      <x:c r="O5" s="38" t="str">
        <x:v>Confirmed by both teams.</x:v>
      </x:c>
      <x:c r="P5" s="38" t="str">
        <x:v>Sam A 1; Leo B 1</x:v>
      </x:c>
      <x:c r="Q5" s="38" t="str"/>
      <x:c r="R5" s="38" t="str">
        <x:v>Approved Current</x:v>
      </x:c>
      <x:c r="S5" s="38" t="str">
        <x:f>IF(R5="Approved Current","Yes","No")</x:f>
        <x:v>Yes</x:v>
      </x:c>
      <x:c r="T5" s="38" t="str"/>
      <x:c r="U5" s="38" t="str"/>
      <x:c r="V5" s="38" t="str"/>
      <x:c r="W5" s="38" t="str"/>
      <x:c r="X5" s="38" t="n">
        <x:f>IF(D5="","",IF(V5&lt;&gt;"",V5,IF(J5="Walkover",IF(K5=XLOOKUP(D5,Fixtures!$A$5:$A$204,Fixtures!$D$5:$D$204,""),Rules!$C$12,IF(K5=XLOOKUP(D5,Fixtures!$A$5:$A$204,Fixtures!$F$5:$F$204,""),Rules!$C$13,"")),H5)))</x:f>
        <x:v>2</x:v>
      </x:c>
      <x:c r="Y5" s="38" t="n">
        <x:f>IF(D5="","",IF(W5&lt;&gt;"",W5,IF(J5="Walkover",IF(K5=XLOOKUP(D5,Fixtures!$A$5:$A$204,Fixtures!$F$5:$F$204,""),Rules!$C$12,IF(K5=XLOOKUP(D5,Fixtures!$A$5:$A$204,Fixtures!$D$5:$D$204,""),Rules!$C$13,"")),I5)))</x:f>
        <x:v>1</x:v>
      </x:c>
      <x:c r="Z5" s="38" t="str">
        <x:f>IF(D5="","",IF(AND(R5="Approved Current",OR(J5="Played",J5="Walkover")),"Yes","No"))</x:f>
        <x:v>Yes</x:v>
      </x:c>
      <x:c r="AA5" s="49" t="str">
        <x:f>IF(D5="","",IF(AND(R5="Approved Current",COUNTIFS($D$5:$D$204,D5,$R$5:$R$204,"Approved Current")&gt;1),"Multiple Approved Current",IF(AND(J5="Walkover",K5=""),"Walkover missing winner","OK")))</x:f>
        <x:v>OK</x:v>
      </x:c>
    </x:row>
    <x:row r="6" ht="15" hidden="0" customHeight="1">
      <x:c r="A6" s="65" t="n">
        <x:v>46215.385416666664</x:v>
      </x:c>
      <x:c r="B6" s="38" t="str">
        <x:v>S002</x:v>
      </x:c>
      <x:c r="C6" s="38" t="str">
        <x:v>New Result</x:v>
      </x:c>
      <x:c r="D6" s="38" t="str">
        <x:v>M002</x:v>
      </x:c>
      <x:c r="E6" s="38" t="str">
        <x:f>IFERROR(XLOOKUP(D6,Fixtures!$A$5:$A$204,Fixtures!$M$5:$M$204,""),"")</x:f>
        <x:v>2026-07-12 | M002 | Hillview v Central Stars | Pitch 2</x:v>
      </x:c>
      <x:c r="F6" s="38" t="str">
        <x:f>IFERROR(XLOOKUP(D6,Fixtures!$A$5:$A$204,Fixtures!$E$5:$E$204,""),"")</x:f>
        <x:v>Hillview</x:v>
      </x:c>
      <x:c r="G6" s="38" t="str">
        <x:f>IFERROR(XLOOKUP(D6,Fixtures!$A$5:$A$204,Fixtures!$G$5:$G$204,""),"")</x:f>
        <x:v>Central Stars</x:v>
      </x:c>
      <x:c r="H6" s="38" t="n">
        <x:v>0</x:v>
      </x:c>
      <x:c r="I6" s="38" t="n">
        <x:v>0</x:v>
      </x:c>
      <x:c r="J6" s="38" t="str">
        <x:v>Played</x:v>
      </x:c>
      <x:c r="K6" s="38" t="str"/>
      <x:c r="L6" s="60" t="n">
        <x:v>46215</x:v>
      </x:c>
      <x:c r="M6" s="38" t="str">
        <x:v>Priya Shah</x:v>
      </x:c>
      <x:c r="N6" s="38" t="str">
        <x:v>Match Official</x:v>
      </x:c>
      <x:c r="O6" s="38" t="str">
        <x:v>Scoreless draw.</x:v>
      </x:c>
      <x:c r="P6" s="38" t="str"/>
      <x:c r="Q6" s="38" t="str"/>
      <x:c r="R6" s="38" t="str">
        <x:v>Approved Current</x:v>
      </x:c>
      <x:c r="S6" s="38" t="str">
        <x:f>IF(R6="Approved Current","Yes","No")</x:f>
        <x:v>Yes</x:v>
      </x:c>
      <x:c r="T6" s="38" t="str"/>
      <x:c r="U6" s="38" t="str"/>
      <x:c r="V6" s="38" t="str"/>
      <x:c r="W6" s="38" t="str"/>
      <x:c r="X6" s="38" t="n">
        <x:f>IF(D6="","",IF(V6&lt;&gt;"",V6,IF(J6="Walkover",IF(K6=XLOOKUP(D6,Fixtures!$A$5:$A$204,Fixtures!$D$5:$D$204,""),Rules!$C$12,IF(K6=XLOOKUP(D6,Fixtures!$A$5:$A$204,Fixtures!$F$5:$F$204,""),Rules!$C$13,"")),H6)))</x:f>
        <x:v>0</x:v>
      </x:c>
      <x:c r="Y6" s="38" t="n">
        <x:f>IF(D6="","",IF(W6&lt;&gt;"",W6,IF(J6="Walkover",IF(K6=XLOOKUP(D6,Fixtures!$A$5:$A$204,Fixtures!$F$5:$F$204,""),Rules!$C$12,IF(K6=XLOOKUP(D6,Fixtures!$A$5:$A$204,Fixtures!$D$5:$D$204,""),Rules!$C$13,"")),I6)))</x:f>
        <x:v>0</x:v>
      </x:c>
      <x:c r="Z6" s="38" t="str">
        <x:f>IF(D6="","",IF(AND(R6="Approved Current",OR(J6="Played",J6="Walkover")),"Yes","No"))</x:f>
        <x:v>Yes</x:v>
      </x:c>
      <x:c r="AA6" s="49" t="str">
        <x:f>IF(D6="","",IF(AND(R6="Approved Current",COUNTIFS($D$5:$D$204,D6,$R$5:$R$204,"Approved Current")&gt;1),"Multiple Approved Current",IF(AND(J6="Walkover",K6=""),"Walkover missing winner","OK")))</x:f>
        <x:v>OK</x:v>
      </x:c>
    </x:row>
    <x:row r="7" ht="15" hidden="0" customHeight="1">
      <x:c r="A7" s="65" t="n">
        <x:v>46216.291666666664</x:v>
      </x:c>
      <x:c r="B7" s="38" t="str">
        <x:v>S003</x:v>
      </x:c>
      <x:c r="C7" s="38" t="str">
        <x:v>New Result</x:v>
      </x:c>
      <x:c r="D7" s="38" t="str">
        <x:v>M003</x:v>
      </x:c>
      <x:c r="E7" s="38" t="str">
        <x:f>IFERROR(XLOOKUP(D7,Fixtures!$A$5:$A$204,Fixtures!$M$5:$M$204,""),"")</x:f>
        <x:v>2026-07-13 | M003 | River Park v Hillview | Pitch 1</x:v>
      </x:c>
      <x:c r="F7" s="38" t="str">
        <x:f>IFERROR(XLOOKUP(D7,Fixtures!$A$5:$A$204,Fixtures!$E$5:$E$204,""),"")</x:f>
        <x:v>River Park</x:v>
      </x:c>
      <x:c r="G7" s="38" t="str">
        <x:f>IFERROR(XLOOKUP(D7,Fixtures!$A$5:$A$204,Fixtures!$G$5:$G$204,""),"")</x:f>
        <x:v>Hillview</x:v>
      </x:c>
      <x:c r="H7" s="38" t="n">
        <x:v>1</x:v>
      </x:c>
      <x:c r="I7" s="38" t="n">
        <x:v>1</x:v>
      </x:c>
      <x:c r="J7" s="38" t="str">
        <x:v>Played</x:v>
      </x:c>
      <x:c r="K7" s="38" t="str"/>
      <x:c r="L7" s="60" t="n">
        <x:v>46216</x:v>
      </x:c>
      <x:c r="M7" s="38" t="str">
        <x:v>Daniel Okello</x:v>
      </x:c>
      <x:c r="N7" s="38" t="str">
        <x:v>Team Coach</x:v>
      </x:c>
      <x:c r="O7" s="38" t="str">
        <x:v>Awaiting confirmation.</x:v>
      </x:c>
      <x:c r="P7" s="38" t="str"/>
      <x:c r="Q7" s="38" t="str"/>
      <x:c r="R7" s="38" t="str">
        <x:v>Pending Review</x:v>
      </x:c>
      <x:c r="S7" s="38" t="str">
        <x:f>IF(R7="Approved Current","Yes","No")</x:f>
        <x:v>No</x:v>
      </x:c>
      <x:c r="T7" s="38" t="str"/>
      <x:c r="U7" s="38" t="str"/>
      <x:c r="V7" s="38" t="str"/>
      <x:c r="W7" s="38" t="str"/>
      <x:c r="X7" s="38" t="n">
        <x:f>IF(D7="","",IF(V7&lt;&gt;"",V7,IF(J7="Walkover",IF(K7=XLOOKUP(D7,Fixtures!$A$5:$A$204,Fixtures!$D$5:$D$204,""),Rules!$C$12,IF(K7=XLOOKUP(D7,Fixtures!$A$5:$A$204,Fixtures!$F$5:$F$204,""),Rules!$C$13,"")),H7)))</x:f>
        <x:v>1</x:v>
      </x:c>
      <x:c r="Y7" s="38" t="n">
        <x:f>IF(D7="","",IF(W7&lt;&gt;"",W7,IF(J7="Walkover",IF(K7=XLOOKUP(D7,Fixtures!$A$5:$A$204,Fixtures!$F$5:$F$204,""),Rules!$C$12,IF(K7=XLOOKUP(D7,Fixtures!$A$5:$A$204,Fixtures!$D$5:$D$204,""),Rules!$C$13,"")),I7)))</x:f>
        <x:v>1</x:v>
      </x:c>
      <x:c r="Z7" s="38" t="str">
        <x:f>IF(D7="","",IF(AND(R7="Approved Current",OR(J7="Played",J7="Walkover")),"Yes","No"))</x:f>
        <x:v>No</x:v>
      </x:c>
      <x:c r="AA7" s="49" t="str">
        <x:f>IF(D7="","",IF(AND(R7="Approved Current",COUNTIFS($D$5:$D$204,D7,$R$5:$R$204,"Approved Current")&gt;1),"Multiple Approved Current",IF(AND(J7="Walkover",K7=""),"Walkover missing winner","OK")))</x:f>
        <x:v>OK</x:v>
      </x:c>
    </x:row>
    <x:row r="8" ht="15" hidden="0" customHeight="1">
      <x:c r="A8" s="65" t="n">
        <x:v>46216.375</x:v>
      </x:c>
      <x:c r="B8" s="38" t="str">
        <x:v>S004</x:v>
      </x:c>
      <x:c r="C8" s="38" t="str">
        <x:v>New Result</x:v>
      </x:c>
      <x:c r="D8" s="38" t="str">
        <x:v>M004</x:v>
      </x:c>
      <x:c r="E8" s="38" t="str">
        <x:f>IFERROR(XLOOKUP(D8,Fixtures!$A$5:$A$204,Fixtures!$M$5:$M$204,""),"")</x:f>
        <x:v>2026-07-13 | M004 | Lakeside v Central Stars | Pitch 2</x:v>
      </x:c>
      <x:c r="F8" s="38" t="str">
        <x:f>IFERROR(XLOOKUP(D8,Fixtures!$A$5:$A$204,Fixtures!$E$5:$E$204,""),"")</x:f>
        <x:v>Lakeside</x:v>
      </x:c>
      <x:c r="G8" s="38" t="str">
        <x:f>IFERROR(XLOOKUP(D8,Fixtures!$A$5:$A$204,Fixtures!$G$5:$G$204,""),"")</x:f>
        <x:v>Central Stars</x:v>
      </x:c>
      <x:c r="H8" s="38" t="n">
        <x:v>1</x:v>
      </x:c>
      <x:c r="I8" s="38" t="n">
        <x:v>0</x:v>
      </x:c>
      <x:c r="J8" s="38" t="str">
        <x:v>Played</x:v>
      </x:c>
      <x:c r="K8" s="38" t="str"/>
      <x:c r="L8" s="60" t="n">
        <x:v>46216</x:v>
      </x:c>
      <x:c r="M8" s="38" t="str">
        <x:v>Grace Lee</x:v>
      </x:c>
      <x:c r="N8" s="38" t="str">
        <x:v>Team Coach</x:v>
      </x:c>
      <x:c r="O8" s="38" t="str">
        <x:v>Original submission.</x:v>
      </x:c>
      <x:c r="P8" s="38" t="str"/>
      <x:c r="Q8" s="38" t="str"/>
      <x:c r="R8" s="38" t="str">
        <x:v>Approved Superseded</x:v>
      </x:c>
      <x:c r="S8" s="38" t="str">
        <x:f>IF(R8="Approved Current","Yes","No")</x:f>
        <x:v>No</x:v>
      </x:c>
      <x:c r="T8" s="38" t="str">
        <x:v>Superseded by correction.</x:v>
      </x:c>
      <x:c r="U8" s="38" t="str"/>
      <x:c r="V8" s="38" t="str"/>
      <x:c r="W8" s="38" t="str"/>
      <x:c r="X8" s="38" t="n">
        <x:f>IF(D8="","",IF(V8&lt;&gt;"",V8,IF(J8="Walkover",IF(K8=XLOOKUP(D8,Fixtures!$A$5:$A$204,Fixtures!$D$5:$D$204,""),Rules!$C$12,IF(K8=XLOOKUP(D8,Fixtures!$A$5:$A$204,Fixtures!$F$5:$F$204,""),Rules!$C$13,"")),H8)))</x:f>
        <x:v>1</x:v>
      </x:c>
      <x:c r="Y8" s="38" t="n">
        <x:f>IF(D8="","",IF(W8&lt;&gt;"",W8,IF(J8="Walkover",IF(K8=XLOOKUP(D8,Fixtures!$A$5:$A$204,Fixtures!$F$5:$F$204,""),Rules!$C$12,IF(K8=XLOOKUP(D8,Fixtures!$A$5:$A$204,Fixtures!$D$5:$D$204,""),Rules!$C$13,"")),I8)))</x:f>
        <x:v>0</x:v>
      </x:c>
      <x:c r="Z8" s="38" t="str">
        <x:f>IF(D8="","",IF(AND(R8="Approved Current",OR(J8="Played",J8="Walkover")),"Yes","No"))</x:f>
        <x:v>No</x:v>
      </x:c>
      <x:c r="AA8" s="49" t="str">
        <x:f>IF(D8="","",IF(AND(R8="Approved Current",COUNTIFS($D$5:$D$204,D8,$R$5:$R$204,"Approved Current")&gt;1),"Multiple Approved Current",IF(AND(J8="Walkover",K8=""),"Walkover missing winner","OK")))</x:f>
        <x:v>OK</x:v>
      </x:c>
    </x:row>
    <x:row r="9" ht="15" hidden="0" customHeight="1">
      <x:c r="A9" s="65" t="n">
        <x:v>46216.4375</x:v>
      </x:c>
      <x:c r="B9" s="38" t="str">
        <x:v>S005</x:v>
      </x:c>
      <x:c r="C9" s="38" t="str">
        <x:v>Correction to Previous Result</x:v>
      </x:c>
      <x:c r="D9" s="38" t="str">
        <x:v>M004</x:v>
      </x:c>
      <x:c r="E9" s="38" t="str">
        <x:f>IFERROR(XLOOKUP(D9,Fixtures!$A$5:$A$204,Fixtures!$M$5:$M$204,""),"")</x:f>
        <x:v>2026-07-13 | M004 | Lakeside v Central Stars | Pitch 2</x:v>
      </x:c>
      <x:c r="F9" s="38" t="str">
        <x:f>IFERROR(XLOOKUP(D9,Fixtures!$A$5:$A$204,Fixtures!$E$5:$E$204,""),"")</x:f>
        <x:v>Lakeside</x:v>
      </x:c>
      <x:c r="G9" s="38" t="str">
        <x:f>IFERROR(XLOOKUP(D9,Fixtures!$A$5:$A$204,Fixtures!$G$5:$G$204,""),"")</x:f>
        <x:v>Central Stars</x:v>
      </x:c>
      <x:c r="H9" s="38" t="n">
        <x:v>2</x:v>
      </x:c>
      <x:c r="I9" s="38" t="n">
        <x:v>0</x:v>
      </x:c>
      <x:c r="J9" s="38" t="str">
        <x:v>Played</x:v>
      </x:c>
      <x:c r="K9" s="38" t="str"/>
      <x:c r="L9" s="60" t="n">
        <x:v>46216</x:v>
      </x:c>
      <x:c r="M9" s="38" t="str">
        <x:v>Grace Lee</x:v>
      </x:c>
      <x:c r="N9" s="38" t="str">
        <x:v>Team Coach</x:v>
      </x:c>
      <x:c r="O9" s="38" t="str">
        <x:v>Corrected away score.</x:v>
      </x:c>
      <x:c r="P9" s="38" t="str">
        <x:v>Niko C 2</x:v>
      </x:c>
      <x:c r="Q9" s="38" t="str"/>
      <x:c r="R9" s="38" t="str">
        <x:v>Approved Current</x:v>
      </x:c>
      <x:c r="S9" s="38" t="str">
        <x:f>IF(R9="Approved Current","Yes","No")</x:f>
        <x:v>Yes</x:v>
      </x:c>
      <x:c r="T9" s="38" t="str"/>
      <x:c r="U9" s="38" t="str">
        <x:v>S004</x:v>
      </x:c>
      <x:c r="V9" s="38" t="str"/>
      <x:c r="W9" s="38" t="str"/>
      <x:c r="X9" s="38" t="n">
        <x:f>IF(D9="","",IF(V9&lt;&gt;"",V9,IF(J9="Walkover",IF(K9=XLOOKUP(D9,Fixtures!$A$5:$A$204,Fixtures!$D$5:$D$204,""),Rules!$C$12,IF(K9=XLOOKUP(D9,Fixtures!$A$5:$A$204,Fixtures!$F$5:$F$204,""),Rules!$C$13,"")),H9)))</x:f>
        <x:v>2</x:v>
      </x:c>
      <x:c r="Y9" s="38" t="n">
        <x:f>IF(D9="","",IF(W9&lt;&gt;"",W9,IF(J9="Walkover",IF(K9=XLOOKUP(D9,Fixtures!$A$5:$A$204,Fixtures!$F$5:$F$204,""),Rules!$C$12,IF(K9=XLOOKUP(D9,Fixtures!$A$5:$A$204,Fixtures!$D$5:$D$204,""),Rules!$C$13,"")),I9)))</x:f>
        <x:v>0</x:v>
      </x:c>
      <x:c r="Z9" s="38" t="str">
        <x:f>IF(D9="","",IF(AND(R9="Approved Current",OR(J9="Played",J9="Walkover")),"Yes","No"))</x:f>
        <x:v>Yes</x:v>
      </x:c>
      <x:c r="AA9" s="49" t="str">
        <x:f>IF(D9="","",IF(AND(R9="Approved Current",COUNTIFS($D$5:$D$204,D9,$R$5:$R$204,"Approved Current")&gt;1),"Multiple Approved Current",IF(AND(J9="Walkover",K9=""),"Walkover missing winner","OK")))</x:f>
        <x:v>OK</x:v>
      </x:c>
    </x:row>
    <x:row r="10" ht="15" hidden="0" customHeight="1">
      <x:c r="A10" s="65" t="n">
        <x:v>46215.5</x:v>
      </x:c>
      <x:c r="B10" s="38" t="str">
        <x:v>S006</x:v>
      </x:c>
      <x:c r="C10" s="38" t="str">
        <x:v>New Result</x:v>
      </x:c>
      <x:c r="D10" s="38" t="str">
        <x:v>M005</x:v>
      </x:c>
      <x:c r="E10" s="38" t="str">
        <x:f>IFERROR(XLOOKUP(D10,Fixtures!$A$5:$A$204,Fixtures!$M$5:$M$204,""),"")</x:f>
        <x:v>2026-07-12 | M005 | North End v Metro Rangers | Pitch 1</x:v>
      </x:c>
      <x:c r="F10" s="38" t="str">
        <x:f>IFERROR(XLOOKUP(D10,Fixtures!$A$5:$A$204,Fixtures!$E$5:$E$204,""),"")</x:f>
        <x:v>North End</x:v>
      </x:c>
      <x:c r="G10" s="38" t="str">
        <x:f>IFERROR(XLOOKUP(D10,Fixtures!$A$5:$A$204,Fixtures!$G$5:$G$204,""),"")</x:f>
        <x:v>Metro Rangers</x:v>
      </x:c>
      <x:c r="H10" s="38" t="str"/>
      <x:c r="I10" s="38" t="str"/>
      <x:c r="J10" s="38" t="str">
        <x:v>Walkover</x:v>
      </x:c>
      <x:c r="K10" s="38" t="str">
        <x:v>T005</x:v>
      </x:c>
      <x:c r="L10" s="60" t="n">
        <x:v>46215</x:v>
      </x:c>
      <x:c r="M10" s="38" t="str">
        <x:v>Musa Kato</x:v>
      </x:c>
      <x:c r="N10" s="38" t="str">
        <x:v>Competition Admin</x:v>
      </x:c>
      <x:c r="O10" s="38" t="str">
        <x:v>Metro Rangers forfeited.</x:v>
      </x:c>
      <x:c r="P10" s="38" t="str"/>
      <x:c r="Q10" s="38" t="str"/>
      <x:c r="R10" s="38" t="str">
        <x:v>Approved Current</x:v>
      </x:c>
      <x:c r="S10" s="38" t="str">
        <x:f>IF(R10="Approved Current","Yes","No")</x:f>
        <x:v>Yes</x:v>
      </x:c>
      <x:c r="T10" s="38" t="str">
        <x:v>Default 3-0 walkover applied.</x:v>
      </x:c>
      <x:c r="U10" s="38" t="str"/>
      <x:c r="V10" s="38" t="str"/>
      <x:c r="W10" s="38" t="str"/>
      <x:c r="X10" s="38" t="n">
        <x:f>IF(D10="","",IF(V10&lt;&gt;"",V10,IF(J10="Walkover",IF(K10=XLOOKUP(D10,Fixtures!$A$5:$A$204,Fixtures!$D$5:$D$204,""),Rules!$C$12,IF(K10=XLOOKUP(D10,Fixtures!$A$5:$A$204,Fixtures!$F$5:$F$204,""),Rules!$C$13,"")),H10)))</x:f>
        <x:v>3</x:v>
      </x:c>
      <x:c r="Y10" s="38" t="n">
        <x:f>IF(D10="","",IF(W10&lt;&gt;"",W10,IF(J10="Walkover",IF(K10=XLOOKUP(D10,Fixtures!$A$5:$A$204,Fixtures!$F$5:$F$204,""),Rules!$C$12,IF(K10=XLOOKUP(D10,Fixtures!$A$5:$A$204,Fixtures!$D$5:$D$204,""),Rules!$C$13,"")),I10)))</x:f>
        <x:v>0</x:v>
      </x:c>
      <x:c r="Z10" s="38" t="str">
        <x:f>IF(D10="","",IF(AND(R10="Approved Current",OR(J10="Played",J10="Walkover")),"Yes","No"))</x:f>
        <x:v>Yes</x:v>
      </x:c>
      <x:c r="AA10" s="49" t="str">
        <x:f>IF(D10="","",IF(AND(R10="Approved Current",COUNTIFS($D$5:$D$204,D10,$R$5:$R$204,"Approved Current")&gt;1),"Multiple Approved Current",IF(AND(J10="Walkover",K10=""),"Walkover missing winner","OK")))</x:f>
        <x:v>OK</x:v>
      </x:c>
    </x:row>
    <x:row r="11" ht="15" hidden="0" customHeight="1">
      <x:c r="A11" s="65" t="n">
        <x:v>46215.541666666664</x:v>
      </x:c>
      <x:c r="B11" s="38" t="str">
        <x:v>S007</x:v>
      </x:c>
      <x:c r="C11" s="38" t="str">
        <x:v>New Result</x:v>
      </x:c>
      <x:c r="D11" s="38" t="str">
        <x:v>M006</x:v>
      </x:c>
      <x:c r="E11" s="38" t="str">
        <x:f>IFERROR(XLOOKUP(D11,Fixtures!$A$5:$A$204,Fixtures!$M$5:$M$204,""),"")</x:f>
        <x:v>2026-07-12 | M006 | Eastside v Westbrook | Pitch 2</x:v>
      </x:c>
      <x:c r="F11" s="38" t="str">
        <x:f>IFERROR(XLOOKUP(D11,Fixtures!$A$5:$A$204,Fixtures!$E$5:$E$204,""),"")</x:f>
        <x:v>Eastside</x:v>
      </x:c>
      <x:c r="G11" s="38" t="str">
        <x:f>IFERROR(XLOOKUP(D11,Fixtures!$A$5:$A$204,Fixtures!$G$5:$G$204,""),"")</x:f>
        <x:v>Westbrook</x:v>
      </x:c>
      <x:c r="H11" s="38" t="n">
        <x:v>1</x:v>
      </x:c>
      <x:c r="I11" s="38" t="n">
        <x:v>1</x:v>
      </x:c>
      <x:c r="J11" s="38" t="str">
        <x:v>Void</x:v>
      </x:c>
      <x:c r="K11" s="38" t="str"/>
      <x:c r="L11" s="60" t="n">
        <x:v>46215</x:v>
      </x:c>
      <x:c r="M11" s="38" t="str">
        <x:v>Nora James</x:v>
      </x:c>
      <x:c r="N11" s="38" t="str">
        <x:v>Competition Admin</x:v>
      </x:c>
      <x:c r="O11" s="38" t="str">
        <x:v>Fixture voided due to eligibility issue.</x:v>
      </x:c>
      <x:c r="P11" s="38" t="str"/>
      <x:c r="Q11" s="38" t="str"/>
      <x:c r="R11" s="38" t="str">
        <x:v>Approved Current</x:v>
      </x:c>
      <x:c r="S11" s="38" t="str">
        <x:f>IF(R11="Approved Current","Yes","No")</x:f>
        <x:v>Yes</x:v>
      </x:c>
      <x:c r="T11" s="38" t="str">
        <x:v>Void result excluded from standings.</x:v>
      </x:c>
      <x:c r="U11" s="38" t="str"/>
      <x:c r="V11" s="38" t="str"/>
      <x:c r="W11" s="38" t="str"/>
      <x:c r="X11" s="38" t="n">
        <x:f>IF(D11="","",IF(V11&lt;&gt;"",V11,IF(J11="Walkover",IF(K11=XLOOKUP(D11,Fixtures!$A$5:$A$204,Fixtures!$D$5:$D$204,""),Rules!$C$12,IF(K11=XLOOKUP(D11,Fixtures!$A$5:$A$204,Fixtures!$F$5:$F$204,""),Rules!$C$13,"")),H11)))</x:f>
        <x:v>1</x:v>
      </x:c>
      <x:c r="Y11" s="38" t="n">
        <x:f>IF(D11="","",IF(W11&lt;&gt;"",W11,IF(J11="Walkover",IF(K11=XLOOKUP(D11,Fixtures!$A$5:$A$204,Fixtures!$F$5:$F$204,""),Rules!$C$12,IF(K11=XLOOKUP(D11,Fixtures!$A$5:$A$204,Fixtures!$D$5:$D$204,""),Rules!$C$13,"")),I11)))</x:f>
        <x:v>1</x:v>
      </x:c>
      <x:c r="Z11" s="38" t="str">
        <x:f>IF(D11="","",IF(AND(R11="Approved Current",OR(J11="Played",J11="Walkover")),"Yes","No"))</x:f>
        <x:v>No</x:v>
      </x:c>
      <x:c r="AA11" s="49" t="str">
        <x:f>IF(D11="","",IF(AND(R11="Approved Current",COUNTIFS($D$5:$D$204,D11,$R$5:$R$204,"Approved Current")&gt;1),"Multiple Approved Current",IF(AND(J11="Walkover",K11=""),"Walkover missing winner","OK")))</x:f>
        <x:v>OK</x:v>
      </x:c>
    </x:row>
    <x:row r="12" ht="15" hidden="0" customHeight="1">
      <x:c r="A12" s="66" t="n">
        <x:v>46218.375</x:v>
      </x:c>
      <x:c r="B12" s="51" t="str">
        <x:v>S008</x:v>
      </x:c>
      <x:c r="C12" s="51" t="str">
        <x:v>New Result</x:v>
      </x:c>
      <x:c r="D12" s="51" t="str">
        <x:v>M010</x:v>
      </x:c>
      <x:c r="E12" s="51" t="str">
        <x:f>IFERROR(XLOOKUP(D12,Fixtures!$A$5:$A$204,Fixtures!$M$5:$M$204,""),"")</x:f>
        <x:v>2026-07-15 | M010 | Lakeside v Hillview | School Ground</x:v>
      </x:c>
      <x:c r="F12" s="51" t="str">
        <x:f>IFERROR(XLOOKUP(D12,Fixtures!$A$5:$A$204,Fixtures!$E$5:$E$204,""),"")</x:f>
        <x:v>Lakeside</x:v>
      </x:c>
      <x:c r="G12" s="51" t="str">
        <x:f>IFERROR(XLOOKUP(D12,Fixtures!$A$5:$A$204,Fixtures!$G$5:$G$204,""),"")</x:f>
        <x:v>Hillview</x:v>
      </x:c>
      <x:c r="H12" s="51" t="n">
        <x:v>3</x:v>
      </x:c>
      <x:c r="I12" s="51" t="n">
        <x:v>2</x:v>
      </x:c>
      <x:c r="J12" s="51" t="str">
        <x:v>Played</x:v>
      </x:c>
      <x:c r="K12" s="51" t="str"/>
      <x:c r="L12" s="61" t="n">
        <x:v>46218</x:v>
      </x:c>
      <x:c r="M12" s="51" t="str">
        <x:v>Test Submitter</x:v>
      </x:c>
      <x:c r="N12" s="51" t="str">
        <x:v>Team Coach</x:v>
      </x:c>
      <x:c r="O12" s="51" t="str">
        <x:v>Rejected sample.</x:v>
      </x:c>
      <x:c r="P12" s="51" t="str"/>
      <x:c r="Q12" s="51" t="str"/>
      <x:c r="R12" s="51" t="str">
        <x:v>Rejected</x:v>
      </x:c>
      <x:c r="S12" s="51" t="str">
        <x:f>IF(R12="Approved Current","Yes","No")</x:f>
        <x:v>No</x:v>
      </x:c>
      <x:c r="T12" s="51" t="str">
        <x:v>Wrong fixture selected.</x:v>
      </x:c>
      <x:c r="U12" s="51" t="str"/>
      <x:c r="V12" s="51" t="str"/>
      <x:c r="W12" s="51" t="str"/>
      <x:c r="X12" s="51" t="n">
        <x:f>IF(D12="","",IF(V12&lt;&gt;"",V12,IF(J12="Walkover",IF(K12=XLOOKUP(D12,Fixtures!$A$5:$A$204,Fixtures!$D$5:$D$204,""),Rules!$C$12,IF(K12=XLOOKUP(D12,Fixtures!$A$5:$A$204,Fixtures!$F$5:$F$204,""),Rules!$C$13,"")),H12)))</x:f>
        <x:v>3</x:v>
      </x:c>
      <x:c r="Y12" s="51" t="n">
        <x:f>IF(D12="","",IF(W12&lt;&gt;"",W12,IF(J12="Walkover",IF(K12=XLOOKUP(D12,Fixtures!$A$5:$A$204,Fixtures!$F$5:$F$204,""),Rules!$C$12,IF(K12=XLOOKUP(D12,Fixtures!$A$5:$A$204,Fixtures!$D$5:$D$204,""),Rules!$C$13,"")),I12)))</x:f>
        <x:v>2</x:v>
      </x:c>
      <x:c r="Z12" s="51" t="str">
        <x:f>IF(D12="","",IF(AND(R12="Approved Current",OR(J12="Played",J12="Walkover")),"Yes","No"))</x:f>
        <x:v>No</x:v>
      </x:c>
      <x:c r="AA12" s="52" t="str">
        <x:f>IF(D12="","",IF(AND(R12="Approved Current",COUNTIFS($D$5:$D$204,D12,$R$5:$R$204,"Approved Current")&gt;1),"Multiple Approved Current",IF(AND(J12="Walkover",K12=""),"Walkover missing winner","OK")))</x:f>
        <x:v>OK</x:v>
      </x:c>
    </x:row>
    <x:row r="13" ht="15" hidden="0" customHeight="1">
      <x:c r="A13" s="67"/>
      <x:c r="B13" s="38"/>
      <x:c r="C13" s="38"/>
      <x:c r="D13" s="38"/>
      <x:c r="E13" s="38" t="str">
        <x:f>IFERROR(XLOOKUP(D13,Fixtures!$A$5:$A$204,Fixtures!$M$5:$M$204,""),"")</x:f>
      </x:c>
      <x:c r="F13" s="38" t="str">
        <x:f>IFERROR(XLOOKUP(D13,Fixtures!$A$5:$A$204,Fixtures!$E$5:$E$204,""),"")</x:f>
      </x:c>
      <x:c r="G13" s="38" t="str">
        <x:f>IFERROR(XLOOKUP(D13,Fixtures!$A$5:$A$204,Fixtures!$G$5:$G$204,""),"")</x:f>
      </x:c>
      <x:c r="H13" s="38"/>
      <x:c r="I13" s="38"/>
      <x:c r="J13" s="38"/>
      <x:c r="K13" s="38"/>
      <x:c r="L13" s="60"/>
      <x:c r="M13" s="38"/>
      <x:c r="N13" s="38"/>
      <x:c r="O13" s="38"/>
      <x:c r="P13" s="38"/>
      <x:c r="Q13" s="38"/>
      <x:c r="R13" s="38"/>
      <x:c r="S13" s="38" t="str">
        <x:f>IF(R13="Approved Current","Yes","No")</x:f>
        <x:v>No</x:v>
      </x:c>
      <x:c r="T13" s="38"/>
      <x:c r="U13" s="38"/>
      <x:c r="V13" s="38"/>
      <x:c r="W13" s="38"/>
      <x:c r="X13" s="38" t="str">
        <x:f>IF(D13="","",IF(V13&lt;&gt;"",V13,IF(J13="Walkover",IF(K13=XLOOKUP(D13,Fixtures!$A$5:$A$204,Fixtures!$D$5:$D$204,""),Rules!$C$12,IF(K13=XLOOKUP(D13,Fixtures!$A$5:$A$204,Fixtures!$F$5:$F$204,""),Rules!$C$13,"")),H13)))</x:f>
      </x:c>
      <x:c r="Y13" s="38" t="str">
        <x:f>IF(D13="","",IF(W13&lt;&gt;"",W13,IF(J13="Walkover",IF(K13=XLOOKUP(D13,Fixtures!$A$5:$A$204,Fixtures!$F$5:$F$204,""),Rules!$C$12,IF(K13=XLOOKUP(D13,Fixtures!$A$5:$A$204,Fixtures!$D$5:$D$204,""),Rules!$C$13,"")),I13)))</x:f>
      </x:c>
      <x:c r="Z13" s="38" t="str">
        <x:f>IF(D13="","",IF(AND(R13="Approved Current",OR(J13="Played",J13="Walkover")),"Yes","No"))</x:f>
      </x:c>
      <x:c r="AA13" s="38" t="str">
        <x:f>IF(D13="","",IF(AND(R13="Approved Current",COUNTIFS($D$5:$D$204,D13,$R$5:$R$204,"Approved Current")&gt;1),"Multiple Approved Current",IF(AND(J13="Walkover",K13=""),"Walkover missing winner","OK")))</x:f>
      </x:c>
    </x:row>
    <x:row r="14" ht="15" hidden="0" customHeight="1">
      <x:c r="A14" s="67"/>
      <x:c r="B14" s="38"/>
      <x:c r="C14" s="38"/>
      <x:c r="D14" s="38"/>
      <x:c r="E14" s="38" t="str">
        <x:f>IFERROR(XLOOKUP(D14,Fixtures!$A$5:$A$204,Fixtures!$M$5:$M$204,""),"")</x:f>
      </x:c>
      <x:c r="F14" s="38" t="str">
        <x:f>IFERROR(XLOOKUP(D14,Fixtures!$A$5:$A$204,Fixtures!$E$5:$E$204,""),"")</x:f>
      </x:c>
      <x:c r="G14" s="38" t="str">
        <x:f>IFERROR(XLOOKUP(D14,Fixtures!$A$5:$A$204,Fixtures!$G$5:$G$204,""),"")</x:f>
      </x:c>
      <x:c r="H14" s="38"/>
      <x:c r="I14" s="38"/>
      <x:c r="J14" s="38"/>
      <x:c r="K14" s="38"/>
      <x:c r="L14" s="60"/>
      <x:c r="M14" s="38"/>
      <x:c r="N14" s="38"/>
      <x:c r="O14" s="38"/>
      <x:c r="P14" s="38"/>
      <x:c r="Q14" s="38"/>
      <x:c r="R14" s="38"/>
      <x:c r="S14" s="38" t="str">
        <x:f>IF(R14="Approved Current","Yes","No")</x:f>
        <x:v>No</x:v>
      </x:c>
      <x:c r="T14" s="38"/>
      <x:c r="U14" s="38"/>
      <x:c r="V14" s="38"/>
      <x:c r="W14" s="38"/>
      <x:c r="X14" s="38" t="str">
        <x:f>IF(D14="","",IF(V14&lt;&gt;"",V14,IF(J14="Walkover",IF(K14=XLOOKUP(D14,Fixtures!$A$5:$A$204,Fixtures!$D$5:$D$204,""),Rules!$C$12,IF(K14=XLOOKUP(D14,Fixtures!$A$5:$A$204,Fixtures!$F$5:$F$204,""),Rules!$C$13,"")),H14)))</x:f>
      </x:c>
      <x:c r="Y14" s="38" t="str">
        <x:f>IF(D14="","",IF(W14&lt;&gt;"",W14,IF(J14="Walkover",IF(K14=XLOOKUP(D14,Fixtures!$A$5:$A$204,Fixtures!$F$5:$F$204,""),Rules!$C$12,IF(K14=XLOOKUP(D14,Fixtures!$A$5:$A$204,Fixtures!$D$5:$D$204,""),Rules!$C$13,"")),I14)))</x:f>
      </x:c>
      <x:c r="Z14" s="38" t="str">
        <x:f>IF(D14="","",IF(AND(R14="Approved Current",OR(J14="Played",J14="Walkover")),"Yes","No"))</x:f>
      </x:c>
      <x:c r="AA14" s="38" t="str">
        <x:f>IF(D14="","",IF(AND(R14="Approved Current",COUNTIFS($D$5:$D$204,D14,$R$5:$R$204,"Approved Current")&gt;1),"Multiple Approved Current",IF(AND(J14="Walkover",K14=""),"Walkover missing winner","OK")))</x:f>
      </x:c>
    </x:row>
    <x:row r="15" ht="15" hidden="0" customHeight="1">
      <x:c r="A15" s="67"/>
      <x:c r="B15" s="38"/>
      <x:c r="C15" s="38"/>
      <x:c r="D15" s="38"/>
      <x:c r="E15" s="38" t="str">
        <x:f>IFERROR(XLOOKUP(D15,Fixtures!$A$5:$A$204,Fixtures!$M$5:$M$204,""),"")</x:f>
      </x:c>
      <x:c r="F15" s="38" t="str">
        <x:f>IFERROR(XLOOKUP(D15,Fixtures!$A$5:$A$204,Fixtures!$E$5:$E$204,""),"")</x:f>
      </x:c>
      <x:c r="G15" s="38" t="str">
        <x:f>IFERROR(XLOOKUP(D15,Fixtures!$A$5:$A$204,Fixtures!$G$5:$G$204,""),"")</x:f>
      </x:c>
      <x:c r="H15" s="38"/>
      <x:c r="I15" s="38"/>
      <x:c r="J15" s="38"/>
      <x:c r="K15" s="38"/>
      <x:c r="L15" s="60"/>
      <x:c r="M15" s="38"/>
      <x:c r="N15" s="38"/>
      <x:c r="O15" s="38"/>
      <x:c r="P15" s="38"/>
      <x:c r="Q15" s="38"/>
      <x:c r="R15" s="38"/>
      <x:c r="S15" s="38" t="str">
        <x:f>IF(R15="Approved Current","Yes","No")</x:f>
        <x:v>No</x:v>
      </x:c>
      <x:c r="T15" s="38"/>
      <x:c r="U15" s="38"/>
      <x:c r="V15" s="38"/>
      <x:c r="W15" s="38"/>
      <x:c r="X15" s="38" t="str">
        <x:f>IF(D15="","",IF(V15&lt;&gt;"",V15,IF(J15="Walkover",IF(K15=XLOOKUP(D15,Fixtures!$A$5:$A$204,Fixtures!$D$5:$D$204,""),Rules!$C$12,IF(K15=XLOOKUP(D15,Fixtures!$A$5:$A$204,Fixtures!$F$5:$F$204,""),Rules!$C$13,"")),H15)))</x:f>
      </x:c>
      <x:c r="Y15" s="38" t="str">
        <x:f>IF(D15="","",IF(W15&lt;&gt;"",W15,IF(J15="Walkover",IF(K15=XLOOKUP(D15,Fixtures!$A$5:$A$204,Fixtures!$F$5:$F$204,""),Rules!$C$12,IF(K15=XLOOKUP(D15,Fixtures!$A$5:$A$204,Fixtures!$D$5:$D$204,""),Rules!$C$13,"")),I15)))</x:f>
      </x:c>
      <x:c r="Z15" s="38" t="str">
        <x:f>IF(D15="","",IF(AND(R15="Approved Current",OR(J15="Played",J15="Walkover")),"Yes","No"))</x:f>
      </x:c>
      <x:c r="AA15" s="38" t="str">
        <x:f>IF(D15="","",IF(AND(R15="Approved Current",COUNTIFS($D$5:$D$204,D15,$R$5:$R$204,"Approved Current")&gt;1),"Multiple Approved Current",IF(AND(J15="Walkover",K15=""),"Walkover missing winner","OK")))</x:f>
      </x:c>
    </x:row>
    <x:row r="16" ht="15" hidden="0" customHeight="1">
      <x:c r="A16" s="67"/>
      <x:c r="B16" s="38"/>
      <x:c r="C16" s="38"/>
      <x:c r="D16" s="38"/>
      <x:c r="E16" s="38" t="str">
        <x:f>IFERROR(XLOOKUP(D16,Fixtures!$A$5:$A$204,Fixtures!$M$5:$M$204,""),"")</x:f>
      </x:c>
      <x:c r="F16" s="38" t="str">
        <x:f>IFERROR(XLOOKUP(D16,Fixtures!$A$5:$A$204,Fixtures!$E$5:$E$204,""),"")</x:f>
      </x:c>
      <x:c r="G16" s="38" t="str">
        <x:f>IFERROR(XLOOKUP(D16,Fixtures!$A$5:$A$204,Fixtures!$G$5:$G$204,""),"")</x:f>
      </x:c>
      <x:c r="H16" s="38"/>
      <x:c r="I16" s="38"/>
      <x:c r="J16" s="38"/>
      <x:c r="K16" s="38"/>
      <x:c r="L16" s="60"/>
      <x:c r="M16" s="38"/>
      <x:c r="N16" s="38"/>
      <x:c r="O16" s="38"/>
      <x:c r="P16" s="38"/>
      <x:c r="Q16" s="38"/>
      <x:c r="R16" s="38"/>
      <x:c r="S16" s="38" t="str">
        <x:f>IF(R16="Approved Current","Yes","No")</x:f>
        <x:v>No</x:v>
      </x:c>
      <x:c r="T16" s="38"/>
      <x:c r="U16" s="38"/>
      <x:c r="V16" s="38"/>
      <x:c r="W16" s="38"/>
      <x:c r="X16" s="38" t="str">
        <x:f>IF(D16="","",IF(V16&lt;&gt;"",V16,IF(J16="Walkover",IF(K16=XLOOKUP(D16,Fixtures!$A$5:$A$204,Fixtures!$D$5:$D$204,""),Rules!$C$12,IF(K16=XLOOKUP(D16,Fixtures!$A$5:$A$204,Fixtures!$F$5:$F$204,""),Rules!$C$13,"")),H16)))</x:f>
      </x:c>
      <x:c r="Y16" s="38" t="str">
        <x:f>IF(D16="","",IF(W16&lt;&gt;"",W16,IF(J16="Walkover",IF(K16=XLOOKUP(D16,Fixtures!$A$5:$A$204,Fixtures!$F$5:$F$204,""),Rules!$C$12,IF(K16=XLOOKUP(D16,Fixtures!$A$5:$A$204,Fixtures!$D$5:$D$204,""),Rules!$C$13,"")),I16)))</x:f>
      </x:c>
      <x:c r="Z16" s="38" t="str">
        <x:f>IF(D16="","",IF(AND(R16="Approved Current",OR(J16="Played",J16="Walkover")),"Yes","No"))</x:f>
      </x:c>
      <x:c r="AA16" s="38" t="str">
        <x:f>IF(D16="","",IF(AND(R16="Approved Current",COUNTIFS($D$5:$D$204,D16,$R$5:$R$204,"Approved Current")&gt;1),"Multiple Approved Current",IF(AND(J16="Walkover",K16=""),"Walkover missing winner","OK")))</x:f>
      </x:c>
    </x:row>
    <x:row r="17" ht="15" hidden="0" customHeight="1">
      <x:c r="A17" s="67"/>
      <x:c r="B17" s="38"/>
      <x:c r="C17" s="38"/>
      <x:c r="D17" s="38"/>
      <x:c r="E17" s="38" t="str">
        <x:f>IFERROR(XLOOKUP(D17,Fixtures!$A$5:$A$204,Fixtures!$M$5:$M$204,""),"")</x:f>
      </x:c>
      <x:c r="F17" s="38" t="str">
        <x:f>IFERROR(XLOOKUP(D17,Fixtures!$A$5:$A$204,Fixtures!$E$5:$E$204,""),"")</x:f>
      </x:c>
      <x:c r="G17" s="38" t="str">
        <x:f>IFERROR(XLOOKUP(D17,Fixtures!$A$5:$A$204,Fixtures!$G$5:$G$204,""),"")</x:f>
      </x:c>
      <x:c r="H17" s="38"/>
      <x:c r="I17" s="38"/>
      <x:c r="J17" s="38"/>
      <x:c r="K17" s="38"/>
      <x:c r="L17" s="60"/>
      <x:c r="M17" s="38"/>
      <x:c r="N17" s="38"/>
      <x:c r="O17" s="38"/>
      <x:c r="P17" s="38"/>
      <x:c r="Q17" s="38"/>
      <x:c r="R17" s="38"/>
      <x:c r="S17" s="38" t="str">
        <x:f>IF(R17="Approved Current","Yes","No")</x:f>
        <x:v>No</x:v>
      </x:c>
      <x:c r="T17" s="38"/>
      <x:c r="U17" s="38"/>
      <x:c r="V17" s="38"/>
      <x:c r="W17" s="38"/>
      <x:c r="X17" s="38" t="str">
        <x:f>IF(D17="","",IF(V17&lt;&gt;"",V17,IF(J17="Walkover",IF(K17=XLOOKUP(D17,Fixtures!$A$5:$A$204,Fixtures!$D$5:$D$204,""),Rules!$C$12,IF(K17=XLOOKUP(D17,Fixtures!$A$5:$A$204,Fixtures!$F$5:$F$204,""),Rules!$C$13,"")),H17)))</x:f>
      </x:c>
      <x:c r="Y17" s="38" t="str">
        <x:f>IF(D17="","",IF(W17&lt;&gt;"",W17,IF(J17="Walkover",IF(K17=XLOOKUP(D17,Fixtures!$A$5:$A$204,Fixtures!$F$5:$F$204,""),Rules!$C$12,IF(K17=XLOOKUP(D17,Fixtures!$A$5:$A$204,Fixtures!$D$5:$D$204,""),Rules!$C$13,"")),I17)))</x:f>
      </x:c>
      <x:c r="Z17" s="38" t="str">
        <x:f>IF(D17="","",IF(AND(R17="Approved Current",OR(J17="Played",J17="Walkover")),"Yes","No"))</x:f>
      </x:c>
      <x:c r="AA17" s="38" t="str">
        <x:f>IF(D17="","",IF(AND(R17="Approved Current",COUNTIFS($D$5:$D$204,D17,$R$5:$R$204,"Approved Current")&gt;1),"Multiple Approved Current",IF(AND(J17="Walkover",K17=""),"Walkover missing winner","OK")))</x:f>
      </x:c>
    </x:row>
    <x:row r="18" ht="15" hidden="0" customHeight="1">
      <x:c r="A18" s="67"/>
      <x:c r="B18" s="38"/>
      <x:c r="C18" s="38"/>
      <x:c r="D18" s="38"/>
      <x:c r="E18" s="38" t="str">
        <x:f>IFERROR(XLOOKUP(D18,Fixtures!$A$5:$A$204,Fixtures!$M$5:$M$204,""),"")</x:f>
      </x:c>
      <x:c r="F18" s="38" t="str">
        <x:f>IFERROR(XLOOKUP(D18,Fixtures!$A$5:$A$204,Fixtures!$E$5:$E$204,""),"")</x:f>
      </x:c>
      <x:c r="G18" s="38" t="str">
        <x:f>IFERROR(XLOOKUP(D18,Fixtures!$A$5:$A$204,Fixtures!$G$5:$G$204,""),"")</x:f>
      </x:c>
      <x:c r="H18" s="38"/>
      <x:c r="I18" s="38"/>
      <x:c r="J18" s="38"/>
      <x:c r="K18" s="38"/>
      <x:c r="L18" s="60"/>
      <x:c r="M18" s="38"/>
      <x:c r="N18" s="38"/>
      <x:c r="O18" s="38"/>
      <x:c r="P18" s="38"/>
      <x:c r="Q18" s="38"/>
      <x:c r="R18" s="38"/>
      <x:c r="S18" s="38" t="str">
        <x:f>IF(R18="Approved Current","Yes","No")</x:f>
        <x:v>No</x:v>
      </x:c>
      <x:c r="T18" s="38"/>
      <x:c r="U18" s="38"/>
      <x:c r="V18" s="38"/>
      <x:c r="W18" s="38"/>
      <x:c r="X18" s="38" t="str">
        <x:f>IF(D18="","",IF(V18&lt;&gt;"",V18,IF(J18="Walkover",IF(K18=XLOOKUP(D18,Fixtures!$A$5:$A$204,Fixtures!$D$5:$D$204,""),Rules!$C$12,IF(K18=XLOOKUP(D18,Fixtures!$A$5:$A$204,Fixtures!$F$5:$F$204,""),Rules!$C$13,"")),H18)))</x:f>
      </x:c>
      <x:c r="Y18" s="38" t="str">
        <x:f>IF(D18="","",IF(W18&lt;&gt;"",W18,IF(J18="Walkover",IF(K18=XLOOKUP(D18,Fixtures!$A$5:$A$204,Fixtures!$F$5:$F$204,""),Rules!$C$12,IF(K18=XLOOKUP(D18,Fixtures!$A$5:$A$204,Fixtures!$D$5:$D$204,""),Rules!$C$13,"")),I18)))</x:f>
      </x:c>
      <x:c r="Z18" s="38" t="str">
        <x:f>IF(D18="","",IF(AND(R18="Approved Current",OR(J18="Played",J18="Walkover")),"Yes","No"))</x:f>
      </x:c>
      <x:c r="AA18" s="38" t="str">
        <x:f>IF(D18="","",IF(AND(R18="Approved Current",COUNTIFS($D$5:$D$204,D18,$R$5:$R$204,"Approved Current")&gt;1),"Multiple Approved Current",IF(AND(J18="Walkover",K18=""),"Walkover missing winner","OK")))</x:f>
      </x:c>
    </x:row>
    <x:row r="19" ht="15" hidden="0" customHeight="1">
      <x:c r="A19" s="67"/>
      <x:c r="B19" s="38"/>
      <x:c r="C19" s="38"/>
      <x:c r="D19" s="38"/>
      <x:c r="E19" s="38" t="str">
        <x:f>IFERROR(XLOOKUP(D19,Fixtures!$A$5:$A$204,Fixtures!$M$5:$M$204,""),"")</x:f>
      </x:c>
      <x:c r="F19" s="38" t="str">
        <x:f>IFERROR(XLOOKUP(D19,Fixtures!$A$5:$A$204,Fixtures!$E$5:$E$204,""),"")</x:f>
      </x:c>
      <x:c r="G19" s="38" t="str">
        <x:f>IFERROR(XLOOKUP(D19,Fixtures!$A$5:$A$204,Fixtures!$G$5:$G$204,""),"")</x:f>
      </x:c>
      <x:c r="H19" s="38"/>
      <x:c r="I19" s="38"/>
      <x:c r="J19" s="38"/>
      <x:c r="K19" s="38"/>
      <x:c r="L19" s="60"/>
      <x:c r="M19" s="38"/>
      <x:c r="N19" s="38"/>
      <x:c r="O19" s="38"/>
      <x:c r="P19" s="38"/>
      <x:c r="Q19" s="38"/>
      <x:c r="R19" s="38"/>
      <x:c r="S19" s="38" t="str">
        <x:f>IF(R19="Approved Current","Yes","No")</x:f>
        <x:v>No</x:v>
      </x:c>
      <x:c r="T19" s="38"/>
      <x:c r="U19" s="38"/>
      <x:c r="V19" s="38"/>
      <x:c r="W19" s="38"/>
      <x:c r="X19" s="38" t="str">
        <x:f>IF(D19="","",IF(V19&lt;&gt;"",V19,IF(J19="Walkover",IF(K19=XLOOKUP(D19,Fixtures!$A$5:$A$204,Fixtures!$D$5:$D$204,""),Rules!$C$12,IF(K19=XLOOKUP(D19,Fixtures!$A$5:$A$204,Fixtures!$F$5:$F$204,""),Rules!$C$13,"")),H19)))</x:f>
      </x:c>
      <x:c r="Y19" s="38" t="str">
        <x:f>IF(D19="","",IF(W19&lt;&gt;"",W19,IF(J19="Walkover",IF(K19=XLOOKUP(D19,Fixtures!$A$5:$A$204,Fixtures!$F$5:$F$204,""),Rules!$C$12,IF(K19=XLOOKUP(D19,Fixtures!$A$5:$A$204,Fixtures!$D$5:$D$204,""),Rules!$C$13,"")),I19)))</x:f>
      </x:c>
      <x:c r="Z19" s="38" t="str">
        <x:f>IF(D19="","",IF(AND(R19="Approved Current",OR(J19="Played",J19="Walkover")),"Yes","No"))</x:f>
      </x:c>
      <x:c r="AA19" s="38" t="str">
        <x:f>IF(D19="","",IF(AND(R19="Approved Current",COUNTIFS($D$5:$D$204,D19,$R$5:$R$204,"Approved Current")&gt;1),"Multiple Approved Current",IF(AND(J19="Walkover",K19=""),"Walkover missing winner","OK")))</x:f>
      </x:c>
    </x:row>
    <x:row r="20" ht="15" hidden="0" customHeight="1">
      <x:c r="A20" s="67"/>
      <x:c r="B20" s="38"/>
      <x:c r="C20" s="38"/>
      <x:c r="D20" s="38"/>
      <x:c r="E20" s="38" t="str">
        <x:f>IFERROR(XLOOKUP(D20,Fixtures!$A$5:$A$204,Fixtures!$M$5:$M$204,""),"")</x:f>
      </x:c>
      <x:c r="F20" s="38" t="str">
        <x:f>IFERROR(XLOOKUP(D20,Fixtures!$A$5:$A$204,Fixtures!$E$5:$E$204,""),"")</x:f>
      </x:c>
      <x:c r="G20" s="38" t="str">
        <x:f>IFERROR(XLOOKUP(D20,Fixtures!$A$5:$A$204,Fixtures!$G$5:$G$204,""),"")</x:f>
      </x:c>
      <x:c r="H20" s="38"/>
      <x:c r="I20" s="38"/>
      <x:c r="J20" s="38"/>
      <x:c r="K20" s="38"/>
      <x:c r="L20" s="60"/>
      <x:c r="M20" s="38"/>
      <x:c r="N20" s="38"/>
      <x:c r="O20" s="38"/>
      <x:c r="P20" s="38"/>
      <x:c r="Q20" s="38"/>
      <x:c r="R20" s="38"/>
      <x:c r="S20" s="38" t="str">
        <x:f>IF(R20="Approved Current","Yes","No")</x:f>
        <x:v>No</x:v>
      </x:c>
      <x:c r="T20" s="38"/>
      <x:c r="U20" s="38"/>
      <x:c r="V20" s="38"/>
      <x:c r="W20" s="38"/>
      <x:c r="X20" s="38" t="str">
        <x:f>IF(D20="","",IF(V20&lt;&gt;"",V20,IF(J20="Walkover",IF(K20=XLOOKUP(D20,Fixtures!$A$5:$A$204,Fixtures!$D$5:$D$204,""),Rules!$C$12,IF(K20=XLOOKUP(D20,Fixtures!$A$5:$A$204,Fixtures!$F$5:$F$204,""),Rules!$C$13,"")),H20)))</x:f>
      </x:c>
      <x:c r="Y20" s="38" t="str">
        <x:f>IF(D20="","",IF(W20&lt;&gt;"",W20,IF(J20="Walkover",IF(K20=XLOOKUP(D20,Fixtures!$A$5:$A$204,Fixtures!$F$5:$F$204,""),Rules!$C$12,IF(K20=XLOOKUP(D20,Fixtures!$A$5:$A$204,Fixtures!$D$5:$D$204,""),Rules!$C$13,"")),I20)))</x:f>
      </x:c>
      <x:c r="Z20" s="38" t="str">
        <x:f>IF(D20="","",IF(AND(R20="Approved Current",OR(J20="Played",J20="Walkover")),"Yes","No"))</x:f>
      </x:c>
      <x:c r="AA20" s="38" t="str">
        <x:f>IF(D20="","",IF(AND(R20="Approved Current",COUNTIFS($D$5:$D$204,D20,$R$5:$R$204,"Approved Current")&gt;1),"Multiple Approved Current",IF(AND(J20="Walkover",K20=""),"Walkover missing winner","OK")))</x:f>
      </x:c>
    </x:row>
    <x:row r="21" ht="15" hidden="0" customHeight="1">
      <x:c r="A21" s="67"/>
      <x:c r="B21" s="38"/>
      <x:c r="C21" s="38"/>
      <x:c r="D21" s="38"/>
      <x:c r="E21" s="38" t="str">
        <x:f>IFERROR(XLOOKUP(D21,Fixtures!$A$5:$A$204,Fixtures!$M$5:$M$204,""),"")</x:f>
      </x:c>
      <x:c r="F21" s="38" t="str">
        <x:f>IFERROR(XLOOKUP(D21,Fixtures!$A$5:$A$204,Fixtures!$E$5:$E$204,""),"")</x:f>
      </x:c>
      <x:c r="G21" s="38" t="str">
        <x:f>IFERROR(XLOOKUP(D21,Fixtures!$A$5:$A$204,Fixtures!$G$5:$G$204,""),"")</x:f>
      </x:c>
      <x:c r="H21" s="38"/>
      <x:c r="I21" s="38"/>
      <x:c r="J21" s="38"/>
      <x:c r="K21" s="38"/>
      <x:c r="L21" s="60"/>
      <x:c r="M21" s="38"/>
      <x:c r="N21" s="38"/>
      <x:c r="O21" s="38"/>
      <x:c r="P21" s="38"/>
      <x:c r="Q21" s="38"/>
      <x:c r="R21" s="38"/>
      <x:c r="S21" s="38" t="str">
        <x:f>IF(R21="Approved Current","Yes","No")</x:f>
        <x:v>No</x:v>
      </x:c>
      <x:c r="T21" s="38"/>
      <x:c r="U21" s="38"/>
      <x:c r="V21" s="38"/>
      <x:c r="W21" s="38"/>
      <x:c r="X21" s="38" t="str">
        <x:f>IF(D21="","",IF(V21&lt;&gt;"",V21,IF(J21="Walkover",IF(K21=XLOOKUP(D21,Fixtures!$A$5:$A$204,Fixtures!$D$5:$D$204,""),Rules!$C$12,IF(K21=XLOOKUP(D21,Fixtures!$A$5:$A$204,Fixtures!$F$5:$F$204,""),Rules!$C$13,"")),H21)))</x:f>
      </x:c>
      <x:c r="Y21" s="38" t="str">
        <x:f>IF(D21="","",IF(W21&lt;&gt;"",W21,IF(J21="Walkover",IF(K21=XLOOKUP(D21,Fixtures!$A$5:$A$204,Fixtures!$F$5:$F$204,""),Rules!$C$12,IF(K21=XLOOKUP(D21,Fixtures!$A$5:$A$204,Fixtures!$D$5:$D$204,""),Rules!$C$13,"")),I21)))</x:f>
      </x:c>
      <x:c r="Z21" s="38" t="str">
        <x:f>IF(D21="","",IF(AND(R21="Approved Current",OR(J21="Played",J21="Walkover")),"Yes","No"))</x:f>
      </x:c>
      <x:c r="AA21" s="38" t="str">
        <x:f>IF(D21="","",IF(AND(R21="Approved Current",COUNTIFS($D$5:$D$204,D21,$R$5:$R$204,"Approved Current")&gt;1),"Multiple Approved Current",IF(AND(J21="Walkover",K21=""),"Walkover missing winner","OK")))</x:f>
      </x:c>
    </x:row>
    <x:row r="22" ht="15" hidden="0" customHeight="1">
      <x:c r="A22" s="67"/>
      <x:c r="B22" s="38"/>
      <x:c r="C22" s="38"/>
      <x:c r="D22" s="38"/>
      <x:c r="E22" s="38" t="str">
        <x:f>IFERROR(XLOOKUP(D22,Fixtures!$A$5:$A$204,Fixtures!$M$5:$M$204,""),"")</x:f>
      </x:c>
      <x:c r="F22" s="38" t="str">
        <x:f>IFERROR(XLOOKUP(D22,Fixtures!$A$5:$A$204,Fixtures!$E$5:$E$204,""),"")</x:f>
      </x:c>
      <x:c r="G22" s="38" t="str">
        <x:f>IFERROR(XLOOKUP(D22,Fixtures!$A$5:$A$204,Fixtures!$G$5:$G$204,""),"")</x:f>
      </x:c>
      <x:c r="H22" s="38"/>
      <x:c r="I22" s="38"/>
      <x:c r="J22" s="38"/>
      <x:c r="K22" s="38"/>
      <x:c r="L22" s="60"/>
      <x:c r="M22" s="38"/>
      <x:c r="N22" s="38"/>
      <x:c r="O22" s="38"/>
      <x:c r="P22" s="38"/>
      <x:c r="Q22" s="38"/>
      <x:c r="R22" s="38"/>
      <x:c r="S22" s="38" t="str">
        <x:f>IF(R22="Approved Current","Yes","No")</x:f>
        <x:v>No</x:v>
      </x:c>
      <x:c r="T22" s="38"/>
      <x:c r="U22" s="38"/>
      <x:c r="V22" s="38"/>
      <x:c r="W22" s="38"/>
      <x:c r="X22" s="38" t="str">
        <x:f>IF(D22="","",IF(V22&lt;&gt;"",V22,IF(J22="Walkover",IF(K22=XLOOKUP(D22,Fixtures!$A$5:$A$204,Fixtures!$D$5:$D$204,""),Rules!$C$12,IF(K22=XLOOKUP(D22,Fixtures!$A$5:$A$204,Fixtures!$F$5:$F$204,""),Rules!$C$13,"")),H22)))</x:f>
      </x:c>
      <x:c r="Y22" s="38" t="str">
        <x:f>IF(D22="","",IF(W22&lt;&gt;"",W22,IF(J22="Walkover",IF(K22=XLOOKUP(D22,Fixtures!$A$5:$A$204,Fixtures!$F$5:$F$204,""),Rules!$C$12,IF(K22=XLOOKUP(D22,Fixtures!$A$5:$A$204,Fixtures!$D$5:$D$204,""),Rules!$C$13,"")),I22)))</x:f>
      </x:c>
      <x:c r="Z22" s="38" t="str">
        <x:f>IF(D22="","",IF(AND(R22="Approved Current",OR(J22="Played",J22="Walkover")),"Yes","No"))</x:f>
      </x:c>
      <x:c r="AA22" s="38" t="str">
        <x:f>IF(D22="","",IF(AND(R22="Approved Current",COUNTIFS($D$5:$D$204,D22,$R$5:$R$204,"Approved Current")&gt;1),"Multiple Approved Current",IF(AND(J22="Walkover",K22=""),"Walkover missing winner","OK")))</x:f>
      </x:c>
    </x:row>
    <x:row r="23" ht="15" hidden="0" customHeight="1">
      <x:c r="A23" s="67"/>
      <x:c r="B23" s="38"/>
      <x:c r="C23" s="38"/>
      <x:c r="D23" s="38"/>
      <x:c r="E23" s="38" t="str">
        <x:f>IFERROR(XLOOKUP(D23,Fixtures!$A$5:$A$204,Fixtures!$M$5:$M$204,""),"")</x:f>
      </x:c>
      <x:c r="F23" s="38" t="str">
        <x:f>IFERROR(XLOOKUP(D23,Fixtures!$A$5:$A$204,Fixtures!$E$5:$E$204,""),"")</x:f>
      </x:c>
      <x:c r="G23" s="38" t="str">
        <x:f>IFERROR(XLOOKUP(D23,Fixtures!$A$5:$A$204,Fixtures!$G$5:$G$204,""),"")</x:f>
      </x:c>
      <x:c r="H23" s="38"/>
      <x:c r="I23" s="38"/>
      <x:c r="J23" s="38"/>
      <x:c r="K23" s="38"/>
      <x:c r="L23" s="60"/>
      <x:c r="M23" s="38"/>
      <x:c r="N23" s="38"/>
      <x:c r="O23" s="38"/>
      <x:c r="P23" s="38"/>
      <x:c r="Q23" s="38"/>
      <x:c r="R23" s="38"/>
      <x:c r="S23" s="38" t="str">
        <x:f>IF(R23="Approved Current","Yes","No")</x:f>
        <x:v>No</x:v>
      </x:c>
      <x:c r="T23" s="38"/>
      <x:c r="U23" s="38"/>
      <x:c r="V23" s="38"/>
      <x:c r="W23" s="38"/>
      <x:c r="X23" s="38" t="str">
        <x:f>IF(D23="","",IF(V23&lt;&gt;"",V23,IF(J23="Walkover",IF(K23=XLOOKUP(D23,Fixtures!$A$5:$A$204,Fixtures!$D$5:$D$204,""),Rules!$C$12,IF(K23=XLOOKUP(D23,Fixtures!$A$5:$A$204,Fixtures!$F$5:$F$204,""),Rules!$C$13,"")),H23)))</x:f>
      </x:c>
      <x:c r="Y23" s="38" t="str">
        <x:f>IF(D23="","",IF(W23&lt;&gt;"",W23,IF(J23="Walkover",IF(K23=XLOOKUP(D23,Fixtures!$A$5:$A$204,Fixtures!$F$5:$F$204,""),Rules!$C$12,IF(K23=XLOOKUP(D23,Fixtures!$A$5:$A$204,Fixtures!$D$5:$D$204,""),Rules!$C$13,"")),I23)))</x:f>
      </x:c>
      <x:c r="Z23" s="38" t="str">
        <x:f>IF(D23="","",IF(AND(R23="Approved Current",OR(J23="Played",J23="Walkover")),"Yes","No"))</x:f>
      </x:c>
      <x:c r="AA23" s="38" t="str">
        <x:f>IF(D23="","",IF(AND(R23="Approved Current",COUNTIFS($D$5:$D$204,D23,$R$5:$R$204,"Approved Current")&gt;1),"Multiple Approved Current",IF(AND(J23="Walkover",K23=""),"Walkover missing winner","OK")))</x:f>
      </x:c>
    </x:row>
    <x:row r="24" ht="15" hidden="0" customHeight="1">
      <x:c r="A24" s="67"/>
      <x:c r="B24" s="38"/>
      <x:c r="C24" s="38"/>
      <x:c r="D24" s="38"/>
      <x:c r="E24" s="38" t="str">
        <x:f>IFERROR(XLOOKUP(D24,Fixtures!$A$5:$A$204,Fixtures!$M$5:$M$204,""),"")</x:f>
      </x:c>
      <x:c r="F24" s="38" t="str">
        <x:f>IFERROR(XLOOKUP(D24,Fixtures!$A$5:$A$204,Fixtures!$E$5:$E$204,""),"")</x:f>
      </x:c>
      <x:c r="G24" s="38" t="str">
        <x:f>IFERROR(XLOOKUP(D24,Fixtures!$A$5:$A$204,Fixtures!$G$5:$G$204,""),"")</x:f>
      </x:c>
      <x:c r="H24" s="38"/>
      <x:c r="I24" s="38"/>
      <x:c r="J24" s="38"/>
      <x:c r="K24" s="38"/>
      <x:c r="L24" s="60"/>
      <x:c r="M24" s="38"/>
      <x:c r="N24" s="38"/>
      <x:c r="O24" s="38"/>
      <x:c r="P24" s="38"/>
      <x:c r="Q24" s="38"/>
      <x:c r="R24" s="38"/>
      <x:c r="S24" s="38" t="str">
        <x:f>IF(R24="Approved Current","Yes","No")</x:f>
        <x:v>No</x:v>
      </x:c>
      <x:c r="T24" s="38"/>
      <x:c r="U24" s="38"/>
      <x:c r="V24" s="38"/>
      <x:c r="W24" s="38"/>
      <x:c r="X24" s="38" t="str">
        <x:f>IF(D24="","",IF(V24&lt;&gt;"",V24,IF(J24="Walkover",IF(K24=XLOOKUP(D24,Fixtures!$A$5:$A$204,Fixtures!$D$5:$D$204,""),Rules!$C$12,IF(K24=XLOOKUP(D24,Fixtures!$A$5:$A$204,Fixtures!$F$5:$F$204,""),Rules!$C$13,"")),H24)))</x:f>
      </x:c>
      <x:c r="Y24" s="38" t="str">
        <x:f>IF(D24="","",IF(W24&lt;&gt;"",W24,IF(J24="Walkover",IF(K24=XLOOKUP(D24,Fixtures!$A$5:$A$204,Fixtures!$F$5:$F$204,""),Rules!$C$12,IF(K24=XLOOKUP(D24,Fixtures!$A$5:$A$204,Fixtures!$D$5:$D$204,""),Rules!$C$13,"")),I24)))</x:f>
      </x:c>
      <x:c r="Z24" s="38" t="str">
        <x:f>IF(D24="","",IF(AND(R24="Approved Current",OR(J24="Played",J24="Walkover")),"Yes","No"))</x:f>
      </x:c>
      <x:c r="AA24" s="38" t="str">
        <x:f>IF(D24="","",IF(AND(R24="Approved Current",COUNTIFS($D$5:$D$204,D24,$R$5:$R$204,"Approved Current")&gt;1),"Multiple Approved Current",IF(AND(J24="Walkover",K24=""),"Walkover missing winner","OK")))</x:f>
      </x:c>
    </x:row>
    <x:row r="25" ht="15" hidden="0" customHeight="1">
      <x:c r="A25" s="67"/>
      <x:c r="B25" s="38"/>
      <x:c r="C25" s="38"/>
      <x:c r="D25" s="38"/>
      <x:c r="E25" s="38" t="str">
        <x:f>IFERROR(XLOOKUP(D25,Fixtures!$A$5:$A$204,Fixtures!$M$5:$M$204,""),"")</x:f>
      </x:c>
      <x:c r="F25" s="38" t="str">
        <x:f>IFERROR(XLOOKUP(D25,Fixtures!$A$5:$A$204,Fixtures!$E$5:$E$204,""),"")</x:f>
      </x:c>
      <x:c r="G25" s="38" t="str">
        <x:f>IFERROR(XLOOKUP(D25,Fixtures!$A$5:$A$204,Fixtures!$G$5:$G$204,""),"")</x:f>
      </x:c>
      <x:c r="H25" s="38"/>
      <x:c r="I25" s="38"/>
      <x:c r="J25" s="38"/>
      <x:c r="K25" s="38"/>
      <x:c r="L25" s="60"/>
      <x:c r="M25" s="38"/>
      <x:c r="N25" s="38"/>
      <x:c r="O25" s="38"/>
      <x:c r="P25" s="38"/>
      <x:c r="Q25" s="38"/>
      <x:c r="R25" s="38"/>
      <x:c r="S25" s="38" t="str">
        <x:f>IF(R25="Approved Current","Yes","No")</x:f>
        <x:v>No</x:v>
      </x:c>
      <x:c r="T25" s="38"/>
      <x:c r="U25" s="38"/>
      <x:c r="V25" s="38"/>
      <x:c r="W25" s="38"/>
      <x:c r="X25" s="38" t="str">
        <x:f>IF(D25="","",IF(V25&lt;&gt;"",V25,IF(J25="Walkover",IF(K25=XLOOKUP(D25,Fixtures!$A$5:$A$204,Fixtures!$D$5:$D$204,""),Rules!$C$12,IF(K25=XLOOKUP(D25,Fixtures!$A$5:$A$204,Fixtures!$F$5:$F$204,""),Rules!$C$13,"")),H25)))</x:f>
      </x:c>
      <x:c r="Y25" s="38" t="str">
        <x:f>IF(D25="","",IF(W25&lt;&gt;"",W25,IF(J25="Walkover",IF(K25=XLOOKUP(D25,Fixtures!$A$5:$A$204,Fixtures!$F$5:$F$204,""),Rules!$C$12,IF(K25=XLOOKUP(D25,Fixtures!$A$5:$A$204,Fixtures!$D$5:$D$204,""),Rules!$C$13,"")),I25)))</x:f>
      </x:c>
      <x:c r="Z25" s="38" t="str">
        <x:f>IF(D25="","",IF(AND(R25="Approved Current",OR(J25="Played",J25="Walkover")),"Yes","No"))</x:f>
      </x:c>
      <x:c r="AA25" s="38" t="str">
        <x:f>IF(D25="","",IF(AND(R25="Approved Current",COUNTIFS($D$5:$D$204,D25,$R$5:$R$204,"Approved Current")&gt;1),"Multiple Approved Current",IF(AND(J25="Walkover",K25=""),"Walkover missing winner","OK")))</x:f>
      </x:c>
    </x:row>
    <x:row r="26" ht="15" hidden="0" customHeight="1">
      <x:c r="A26" s="67"/>
      <x:c r="B26" s="38"/>
      <x:c r="C26" s="38"/>
      <x:c r="D26" s="38"/>
      <x:c r="E26" s="38" t="str">
        <x:f>IFERROR(XLOOKUP(D26,Fixtures!$A$5:$A$204,Fixtures!$M$5:$M$204,""),"")</x:f>
      </x:c>
      <x:c r="F26" s="38" t="str">
        <x:f>IFERROR(XLOOKUP(D26,Fixtures!$A$5:$A$204,Fixtures!$E$5:$E$204,""),"")</x:f>
      </x:c>
      <x:c r="G26" s="38" t="str">
        <x:f>IFERROR(XLOOKUP(D26,Fixtures!$A$5:$A$204,Fixtures!$G$5:$G$204,""),"")</x:f>
      </x:c>
      <x:c r="H26" s="38"/>
      <x:c r="I26" s="38"/>
      <x:c r="J26" s="38"/>
      <x:c r="K26" s="38"/>
      <x:c r="L26" s="60"/>
      <x:c r="M26" s="38"/>
      <x:c r="N26" s="38"/>
      <x:c r="O26" s="38"/>
      <x:c r="P26" s="38"/>
      <x:c r="Q26" s="38"/>
      <x:c r="R26" s="38"/>
      <x:c r="S26" s="38" t="str">
        <x:f>IF(R26="Approved Current","Yes","No")</x:f>
        <x:v>No</x:v>
      </x:c>
      <x:c r="T26" s="38"/>
      <x:c r="U26" s="38"/>
      <x:c r="V26" s="38"/>
      <x:c r="W26" s="38"/>
      <x:c r="X26" s="38" t="str">
        <x:f>IF(D26="","",IF(V26&lt;&gt;"",V26,IF(J26="Walkover",IF(K26=XLOOKUP(D26,Fixtures!$A$5:$A$204,Fixtures!$D$5:$D$204,""),Rules!$C$12,IF(K26=XLOOKUP(D26,Fixtures!$A$5:$A$204,Fixtures!$F$5:$F$204,""),Rules!$C$13,"")),H26)))</x:f>
      </x:c>
      <x:c r="Y26" s="38" t="str">
        <x:f>IF(D26="","",IF(W26&lt;&gt;"",W26,IF(J26="Walkover",IF(K26=XLOOKUP(D26,Fixtures!$A$5:$A$204,Fixtures!$F$5:$F$204,""),Rules!$C$12,IF(K26=XLOOKUP(D26,Fixtures!$A$5:$A$204,Fixtures!$D$5:$D$204,""),Rules!$C$13,"")),I26)))</x:f>
      </x:c>
      <x:c r="Z26" s="38" t="str">
        <x:f>IF(D26="","",IF(AND(R26="Approved Current",OR(J26="Played",J26="Walkover")),"Yes","No"))</x:f>
      </x:c>
      <x:c r="AA26" s="38" t="str">
        <x:f>IF(D26="","",IF(AND(R26="Approved Current",COUNTIFS($D$5:$D$204,D26,$R$5:$R$204,"Approved Current")&gt;1),"Multiple Approved Current",IF(AND(J26="Walkover",K26=""),"Walkover missing winner","OK")))</x:f>
      </x:c>
    </x:row>
    <x:row r="27" ht="15" hidden="0" customHeight="1">
      <x:c r="A27" s="67"/>
      <x:c r="B27" s="38"/>
      <x:c r="C27" s="38"/>
      <x:c r="D27" s="38"/>
      <x:c r="E27" s="38" t="str">
        <x:f>IFERROR(XLOOKUP(D27,Fixtures!$A$5:$A$204,Fixtures!$M$5:$M$204,""),"")</x:f>
      </x:c>
      <x:c r="F27" s="38" t="str">
        <x:f>IFERROR(XLOOKUP(D27,Fixtures!$A$5:$A$204,Fixtures!$E$5:$E$204,""),"")</x:f>
      </x:c>
      <x:c r="G27" s="38" t="str">
        <x:f>IFERROR(XLOOKUP(D27,Fixtures!$A$5:$A$204,Fixtures!$G$5:$G$204,""),"")</x:f>
      </x:c>
      <x:c r="H27" s="38"/>
      <x:c r="I27" s="38"/>
      <x:c r="J27" s="38"/>
      <x:c r="K27" s="38"/>
      <x:c r="L27" s="60"/>
      <x:c r="M27" s="38"/>
      <x:c r="N27" s="38"/>
      <x:c r="O27" s="38"/>
      <x:c r="P27" s="38"/>
      <x:c r="Q27" s="38"/>
      <x:c r="R27" s="38"/>
      <x:c r="S27" s="38" t="str">
        <x:f>IF(R27="Approved Current","Yes","No")</x:f>
        <x:v>No</x:v>
      </x:c>
      <x:c r="T27" s="38"/>
      <x:c r="U27" s="38"/>
      <x:c r="V27" s="38"/>
      <x:c r="W27" s="38"/>
      <x:c r="X27" s="38" t="str">
        <x:f>IF(D27="","",IF(V27&lt;&gt;"",V27,IF(J27="Walkover",IF(K27=XLOOKUP(D27,Fixtures!$A$5:$A$204,Fixtures!$D$5:$D$204,""),Rules!$C$12,IF(K27=XLOOKUP(D27,Fixtures!$A$5:$A$204,Fixtures!$F$5:$F$204,""),Rules!$C$13,"")),H27)))</x:f>
      </x:c>
      <x:c r="Y27" s="38" t="str">
        <x:f>IF(D27="","",IF(W27&lt;&gt;"",W27,IF(J27="Walkover",IF(K27=XLOOKUP(D27,Fixtures!$A$5:$A$204,Fixtures!$F$5:$F$204,""),Rules!$C$12,IF(K27=XLOOKUP(D27,Fixtures!$A$5:$A$204,Fixtures!$D$5:$D$204,""),Rules!$C$13,"")),I27)))</x:f>
      </x:c>
      <x:c r="Z27" s="38" t="str">
        <x:f>IF(D27="","",IF(AND(R27="Approved Current",OR(J27="Played",J27="Walkover")),"Yes","No"))</x:f>
      </x:c>
      <x:c r="AA27" s="38" t="str">
        <x:f>IF(D27="","",IF(AND(R27="Approved Current",COUNTIFS($D$5:$D$204,D27,$R$5:$R$204,"Approved Current")&gt;1),"Multiple Approved Current",IF(AND(J27="Walkover",K27=""),"Walkover missing winner","OK")))</x:f>
      </x:c>
    </x:row>
    <x:row r="28" ht="15" hidden="0" customHeight="1">
      <x:c r="A28" s="67"/>
      <x:c r="B28" s="38"/>
      <x:c r="C28" s="38"/>
      <x:c r="D28" s="38"/>
      <x:c r="E28" s="38" t="str">
        <x:f>IFERROR(XLOOKUP(D28,Fixtures!$A$5:$A$204,Fixtures!$M$5:$M$204,""),"")</x:f>
      </x:c>
      <x:c r="F28" s="38" t="str">
        <x:f>IFERROR(XLOOKUP(D28,Fixtures!$A$5:$A$204,Fixtures!$E$5:$E$204,""),"")</x:f>
      </x:c>
      <x:c r="G28" s="38" t="str">
        <x:f>IFERROR(XLOOKUP(D28,Fixtures!$A$5:$A$204,Fixtures!$G$5:$G$204,""),"")</x:f>
      </x:c>
      <x:c r="H28" s="38"/>
      <x:c r="I28" s="38"/>
      <x:c r="J28" s="38"/>
      <x:c r="K28" s="38"/>
      <x:c r="L28" s="60"/>
      <x:c r="M28" s="38"/>
      <x:c r="N28" s="38"/>
      <x:c r="O28" s="38"/>
      <x:c r="P28" s="38"/>
      <x:c r="Q28" s="38"/>
      <x:c r="R28" s="38"/>
      <x:c r="S28" s="38" t="str">
        <x:f>IF(R28="Approved Current","Yes","No")</x:f>
        <x:v>No</x:v>
      </x:c>
      <x:c r="T28" s="38"/>
      <x:c r="U28" s="38"/>
      <x:c r="V28" s="38"/>
      <x:c r="W28" s="38"/>
      <x:c r="X28" s="38" t="str">
        <x:f>IF(D28="","",IF(V28&lt;&gt;"",V28,IF(J28="Walkover",IF(K28=XLOOKUP(D28,Fixtures!$A$5:$A$204,Fixtures!$D$5:$D$204,""),Rules!$C$12,IF(K28=XLOOKUP(D28,Fixtures!$A$5:$A$204,Fixtures!$F$5:$F$204,""),Rules!$C$13,"")),H28)))</x:f>
      </x:c>
      <x:c r="Y28" s="38" t="str">
        <x:f>IF(D28="","",IF(W28&lt;&gt;"",W28,IF(J28="Walkover",IF(K28=XLOOKUP(D28,Fixtures!$A$5:$A$204,Fixtures!$F$5:$F$204,""),Rules!$C$12,IF(K28=XLOOKUP(D28,Fixtures!$A$5:$A$204,Fixtures!$D$5:$D$204,""),Rules!$C$13,"")),I28)))</x:f>
      </x:c>
      <x:c r="Z28" s="38" t="str">
        <x:f>IF(D28="","",IF(AND(R28="Approved Current",OR(J28="Played",J28="Walkover")),"Yes","No"))</x:f>
      </x:c>
      <x:c r="AA28" s="38" t="str">
        <x:f>IF(D28="","",IF(AND(R28="Approved Current",COUNTIFS($D$5:$D$204,D28,$R$5:$R$204,"Approved Current")&gt;1),"Multiple Approved Current",IF(AND(J28="Walkover",K28=""),"Walkover missing winner","OK")))</x:f>
      </x:c>
    </x:row>
    <x:row r="29" ht="15" hidden="0" customHeight="1">
      <x:c r="A29" s="67"/>
      <x:c r="B29" s="38"/>
      <x:c r="C29" s="38"/>
      <x:c r="D29" s="38"/>
      <x:c r="E29" s="38" t="str">
        <x:f>IFERROR(XLOOKUP(D29,Fixtures!$A$5:$A$204,Fixtures!$M$5:$M$204,""),"")</x:f>
      </x:c>
      <x:c r="F29" s="38" t="str">
        <x:f>IFERROR(XLOOKUP(D29,Fixtures!$A$5:$A$204,Fixtures!$E$5:$E$204,""),"")</x:f>
      </x:c>
      <x:c r="G29" s="38" t="str">
        <x:f>IFERROR(XLOOKUP(D29,Fixtures!$A$5:$A$204,Fixtures!$G$5:$G$204,""),"")</x:f>
      </x:c>
      <x:c r="H29" s="38"/>
      <x:c r="I29" s="38"/>
      <x:c r="J29" s="38"/>
      <x:c r="K29" s="38"/>
      <x:c r="L29" s="60"/>
      <x:c r="M29" s="38"/>
      <x:c r="N29" s="38"/>
      <x:c r="O29" s="38"/>
      <x:c r="P29" s="38"/>
      <x:c r="Q29" s="38"/>
      <x:c r="R29" s="38"/>
      <x:c r="S29" s="38" t="str">
        <x:f>IF(R29="Approved Current","Yes","No")</x:f>
        <x:v>No</x:v>
      </x:c>
      <x:c r="T29" s="38"/>
      <x:c r="U29" s="38"/>
      <x:c r="V29" s="38"/>
      <x:c r="W29" s="38"/>
      <x:c r="X29" s="38" t="str">
        <x:f>IF(D29="","",IF(V29&lt;&gt;"",V29,IF(J29="Walkover",IF(K29=XLOOKUP(D29,Fixtures!$A$5:$A$204,Fixtures!$D$5:$D$204,""),Rules!$C$12,IF(K29=XLOOKUP(D29,Fixtures!$A$5:$A$204,Fixtures!$F$5:$F$204,""),Rules!$C$13,"")),H29)))</x:f>
      </x:c>
      <x:c r="Y29" s="38" t="str">
        <x:f>IF(D29="","",IF(W29&lt;&gt;"",W29,IF(J29="Walkover",IF(K29=XLOOKUP(D29,Fixtures!$A$5:$A$204,Fixtures!$F$5:$F$204,""),Rules!$C$12,IF(K29=XLOOKUP(D29,Fixtures!$A$5:$A$204,Fixtures!$D$5:$D$204,""),Rules!$C$13,"")),I29)))</x:f>
      </x:c>
      <x:c r="Z29" s="38" t="str">
        <x:f>IF(D29="","",IF(AND(R29="Approved Current",OR(J29="Played",J29="Walkover")),"Yes","No"))</x:f>
      </x:c>
      <x:c r="AA29" s="38" t="str">
        <x:f>IF(D29="","",IF(AND(R29="Approved Current",COUNTIFS($D$5:$D$204,D29,$R$5:$R$204,"Approved Current")&gt;1),"Multiple Approved Current",IF(AND(J29="Walkover",K29=""),"Walkover missing winner","OK")))</x:f>
      </x:c>
    </x:row>
    <x:row r="30" ht="15" hidden="0" customHeight="1">
      <x:c r="A30" s="67"/>
      <x:c r="B30" s="38"/>
      <x:c r="C30" s="38"/>
      <x:c r="D30" s="38"/>
      <x:c r="E30" s="38" t="str">
        <x:f>IFERROR(XLOOKUP(D30,Fixtures!$A$5:$A$204,Fixtures!$M$5:$M$204,""),"")</x:f>
      </x:c>
      <x:c r="F30" s="38" t="str">
        <x:f>IFERROR(XLOOKUP(D30,Fixtures!$A$5:$A$204,Fixtures!$E$5:$E$204,""),"")</x:f>
      </x:c>
      <x:c r="G30" s="38" t="str">
        <x:f>IFERROR(XLOOKUP(D30,Fixtures!$A$5:$A$204,Fixtures!$G$5:$G$204,""),"")</x:f>
      </x:c>
      <x:c r="H30" s="38"/>
      <x:c r="I30" s="38"/>
      <x:c r="J30" s="38"/>
      <x:c r="K30" s="38"/>
      <x:c r="L30" s="60"/>
      <x:c r="M30" s="38"/>
      <x:c r="N30" s="38"/>
      <x:c r="O30" s="38"/>
      <x:c r="P30" s="38"/>
      <x:c r="Q30" s="38"/>
      <x:c r="R30" s="38"/>
      <x:c r="S30" s="38" t="str">
        <x:f>IF(R30="Approved Current","Yes","No")</x:f>
        <x:v>No</x:v>
      </x:c>
      <x:c r="T30" s="38"/>
      <x:c r="U30" s="38"/>
      <x:c r="V30" s="38"/>
      <x:c r="W30" s="38"/>
      <x:c r="X30" s="38" t="str">
        <x:f>IF(D30="","",IF(V30&lt;&gt;"",V30,IF(J30="Walkover",IF(K30=XLOOKUP(D30,Fixtures!$A$5:$A$204,Fixtures!$D$5:$D$204,""),Rules!$C$12,IF(K30=XLOOKUP(D30,Fixtures!$A$5:$A$204,Fixtures!$F$5:$F$204,""),Rules!$C$13,"")),H30)))</x:f>
      </x:c>
      <x:c r="Y30" s="38" t="str">
        <x:f>IF(D30="","",IF(W30&lt;&gt;"",W30,IF(J30="Walkover",IF(K30=XLOOKUP(D30,Fixtures!$A$5:$A$204,Fixtures!$F$5:$F$204,""),Rules!$C$12,IF(K30=XLOOKUP(D30,Fixtures!$A$5:$A$204,Fixtures!$D$5:$D$204,""),Rules!$C$13,"")),I30)))</x:f>
      </x:c>
      <x:c r="Z30" s="38" t="str">
        <x:f>IF(D30="","",IF(AND(R30="Approved Current",OR(J30="Played",J30="Walkover")),"Yes","No"))</x:f>
      </x:c>
      <x:c r="AA30" s="38" t="str">
        <x:f>IF(D30="","",IF(AND(R30="Approved Current",COUNTIFS($D$5:$D$204,D30,$R$5:$R$204,"Approved Current")&gt;1),"Multiple Approved Current",IF(AND(J30="Walkover",K30=""),"Walkover missing winner","OK")))</x:f>
      </x:c>
    </x:row>
    <x:row r="31" ht="15" hidden="0" customHeight="1">
      <x:c r="A31" s="67"/>
      <x:c r="B31" s="38"/>
      <x:c r="C31" s="38"/>
      <x:c r="D31" s="38"/>
      <x:c r="E31" s="38" t="str">
        <x:f>IFERROR(XLOOKUP(D31,Fixtures!$A$5:$A$204,Fixtures!$M$5:$M$204,""),"")</x:f>
      </x:c>
      <x:c r="F31" s="38" t="str">
        <x:f>IFERROR(XLOOKUP(D31,Fixtures!$A$5:$A$204,Fixtures!$E$5:$E$204,""),"")</x:f>
      </x:c>
      <x:c r="G31" s="38" t="str">
        <x:f>IFERROR(XLOOKUP(D31,Fixtures!$A$5:$A$204,Fixtures!$G$5:$G$204,""),"")</x:f>
      </x:c>
      <x:c r="H31" s="38"/>
      <x:c r="I31" s="38"/>
      <x:c r="J31" s="38"/>
      <x:c r="K31" s="38"/>
      <x:c r="L31" s="60"/>
      <x:c r="M31" s="38"/>
      <x:c r="N31" s="38"/>
      <x:c r="O31" s="38"/>
      <x:c r="P31" s="38"/>
      <x:c r="Q31" s="38"/>
      <x:c r="R31" s="38"/>
      <x:c r="S31" s="38" t="str">
        <x:f>IF(R31="Approved Current","Yes","No")</x:f>
        <x:v>No</x:v>
      </x:c>
      <x:c r="T31" s="38"/>
      <x:c r="U31" s="38"/>
      <x:c r="V31" s="38"/>
      <x:c r="W31" s="38"/>
      <x:c r="X31" s="38" t="str">
        <x:f>IF(D31="","",IF(V31&lt;&gt;"",V31,IF(J31="Walkover",IF(K31=XLOOKUP(D31,Fixtures!$A$5:$A$204,Fixtures!$D$5:$D$204,""),Rules!$C$12,IF(K31=XLOOKUP(D31,Fixtures!$A$5:$A$204,Fixtures!$F$5:$F$204,""),Rules!$C$13,"")),H31)))</x:f>
      </x:c>
      <x:c r="Y31" s="38" t="str">
        <x:f>IF(D31="","",IF(W31&lt;&gt;"",W31,IF(J31="Walkover",IF(K31=XLOOKUP(D31,Fixtures!$A$5:$A$204,Fixtures!$F$5:$F$204,""),Rules!$C$12,IF(K31=XLOOKUP(D31,Fixtures!$A$5:$A$204,Fixtures!$D$5:$D$204,""),Rules!$C$13,"")),I31)))</x:f>
      </x:c>
      <x:c r="Z31" s="38" t="str">
        <x:f>IF(D31="","",IF(AND(R31="Approved Current",OR(J31="Played",J31="Walkover")),"Yes","No"))</x:f>
      </x:c>
      <x:c r="AA31" s="38" t="str">
        <x:f>IF(D31="","",IF(AND(R31="Approved Current",COUNTIFS($D$5:$D$204,D31,$R$5:$R$204,"Approved Current")&gt;1),"Multiple Approved Current",IF(AND(J31="Walkover",K31=""),"Walkover missing winner","OK")))</x:f>
      </x:c>
    </x:row>
    <x:row r="32" ht="15" hidden="0" customHeight="1">
      <x:c r="A32" s="67"/>
      <x:c r="B32" s="38"/>
      <x:c r="C32" s="38"/>
      <x:c r="D32" s="38"/>
      <x:c r="E32" s="38" t="str">
        <x:f>IFERROR(XLOOKUP(D32,Fixtures!$A$5:$A$204,Fixtures!$M$5:$M$204,""),"")</x:f>
      </x:c>
      <x:c r="F32" s="38" t="str">
        <x:f>IFERROR(XLOOKUP(D32,Fixtures!$A$5:$A$204,Fixtures!$E$5:$E$204,""),"")</x:f>
      </x:c>
      <x:c r="G32" s="38" t="str">
        <x:f>IFERROR(XLOOKUP(D32,Fixtures!$A$5:$A$204,Fixtures!$G$5:$G$204,""),"")</x:f>
      </x:c>
      <x:c r="H32" s="38"/>
      <x:c r="I32" s="38"/>
      <x:c r="J32" s="38"/>
      <x:c r="K32" s="38"/>
      <x:c r="L32" s="60"/>
      <x:c r="M32" s="38"/>
      <x:c r="N32" s="38"/>
      <x:c r="O32" s="38"/>
      <x:c r="P32" s="38"/>
      <x:c r="Q32" s="38"/>
      <x:c r="R32" s="38"/>
      <x:c r="S32" s="38" t="str">
        <x:f>IF(R32="Approved Current","Yes","No")</x:f>
        <x:v>No</x:v>
      </x:c>
      <x:c r="T32" s="38"/>
      <x:c r="U32" s="38"/>
      <x:c r="V32" s="38"/>
      <x:c r="W32" s="38"/>
      <x:c r="X32" s="38" t="str">
        <x:f>IF(D32="","",IF(V32&lt;&gt;"",V32,IF(J32="Walkover",IF(K32=XLOOKUP(D32,Fixtures!$A$5:$A$204,Fixtures!$D$5:$D$204,""),Rules!$C$12,IF(K32=XLOOKUP(D32,Fixtures!$A$5:$A$204,Fixtures!$F$5:$F$204,""),Rules!$C$13,"")),H32)))</x:f>
      </x:c>
      <x:c r="Y32" s="38" t="str">
        <x:f>IF(D32="","",IF(W32&lt;&gt;"",W32,IF(J32="Walkover",IF(K32=XLOOKUP(D32,Fixtures!$A$5:$A$204,Fixtures!$F$5:$F$204,""),Rules!$C$12,IF(K32=XLOOKUP(D32,Fixtures!$A$5:$A$204,Fixtures!$D$5:$D$204,""),Rules!$C$13,"")),I32)))</x:f>
      </x:c>
      <x:c r="Z32" s="38" t="str">
        <x:f>IF(D32="","",IF(AND(R32="Approved Current",OR(J32="Played",J32="Walkover")),"Yes","No"))</x:f>
      </x:c>
      <x:c r="AA32" s="38" t="str">
        <x:f>IF(D32="","",IF(AND(R32="Approved Current",COUNTIFS($D$5:$D$204,D32,$R$5:$R$204,"Approved Current")&gt;1),"Multiple Approved Current",IF(AND(J32="Walkover",K32=""),"Walkover missing winner","OK")))</x:f>
      </x:c>
    </x:row>
    <x:row r="33" ht="15" hidden="0" customHeight="1">
      <x:c r="A33" s="67"/>
      <x:c r="B33" s="38"/>
      <x:c r="C33" s="38"/>
      <x:c r="D33" s="38"/>
      <x:c r="E33" s="38" t="str">
        <x:f>IFERROR(XLOOKUP(D33,Fixtures!$A$5:$A$204,Fixtures!$M$5:$M$204,""),"")</x:f>
      </x:c>
      <x:c r="F33" s="38" t="str">
        <x:f>IFERROR(XLOOKUP(D33,Fixtures!$A$5:$A$204,Fixtures!$E$5:$E$204,""),"")</x:f>
      </x:c>
      <x:c r="G33" s="38" t="str">
        <x:f>IFERROR(XLOOKUP(D33,Fixtures!$A$5:$A$204,Fixtures!$G$5:$G$204,""),"")</x:f>
      </x:c>
      <x:c r="H33" s="38"/>
      <x:c r="I33" s="38"/>
      <x:c r="J33" s="38"/>
      <x:c r="K33" s="38"/>
      <x:c r="L33" s="60"/>
      <x:c r="M33" s="38"/>
      <x:c r="N33" s="38"/>
      <x:c r="O33" s="38"/>
      <x:c r="P33" s="38"/>
      <x:c r="Q33" s="38"/>
      <x:c r="R33" s="38"/>
      <x:c r="S33" s="38" t="str">
        <x:f>IF(R33="Approved Current","Yes","No")</x:f>
        <x:v>No</x:v>
      </x:c>
      <x:c r="T33" s="38"/>
      <x:c r="U33" s="38"/>
      <x:c r="V33" s="38"/>
      <x:c r="W33" s="38"/>
      <x:c r="X33" s="38" t="str">
        <x:f>IF(D33="","",IF(V33&lt;&gt;"",V33,IF(J33="Walkover",IF(K33=XLOOKUP(D33,Fixtures!$A$5:$A$204,Fixtures!$D$5:$D$204,""),Rules!$C$12,IF(K33=XLOOKUP(D33,Fixtures!$A$5:$A$204,Fixtures!$F$5:$F$204,""),Rules!$C$13,"")),H33)))</x:f>
      </x:c>
      <x:c r="Y33" s="38" t="str">
        <x:f>IF(D33="","",IF(W33&lt;&gt;"",W33,IF(J33="Walkover",IF(K33=XLOOKUP(D33,Fixtures!$A$5:$A$204,Fixtures!$F$5:$F$204,""),Rules!$C$12,IF(K33=XLOOKUP(D33,Fixtures!$A$5:$A$204,Fixtures!$D$5:$D$204,""),Rules!$C$13,"")),I33)))</x:f>
      </x:c>
      <x:c r="Z33" s="38" t="str">
        <x:f>IF(D33="","",IF(AND(R33="Approved Current",OR(J33="Played",J33="Walkover")),"Yes","No"))</x:f>
      </x:c>
      <x:c r="AA33" s="38" t="str">
        <x:f>IF(D33="","",IF(AND(R33="Approved Current",COUNTIFS($D$5:$D$204,D33,$R$5:$R$204,"Approved Current")&gt;1),"Multiple Approved Current",IF(AND(J33="Walkover",K33=""),"Walkover missing winner","OK")))</x:f>
      </x:c>
    </x:row>
    <x:row r="34" ht="15" hidden="0" customHeight="1">
      <x:c r="A34" s="67"/>
      <x:c r="B34" s="38"/>
      <x:c r="C34" s="38"/>
      <x:c r="D34" s="38"/>
      <x:c r="E34" s="38" t="str">
        <x:f>IFERROR(XLOOKUP(D34,Fixtures!$A$5:$A$204,Fixtures!$M$5:$M$204,""),"")</x:f>
      </x:c>
      <x:c r="F34" s="38" t="str">
        <x:f>IFERROR(XLOOKUP(D34,Fixtures!$A$5:$A$204,Fixtures!$E$5:$E$204,""),"")</x:f>
      </x:c>
      <x:c r="G34" s="38" t="str">
        <x:f>IFERROR(XLOOKUP(D34,Fixtures!$A$5:$A$204,Fixtures!$G$5:$G$204,""),"")</x:f>
      </x:c>
      <x:c r="H34" s="38"/>
      <x:c r="I34" s="38"/>
      <x:c r="J34" s="38"/>
      <x:c r="K34" s="38"/>
      <x:c r="L34" s="60"/>
      <x:c r="M34" s="38"/>
      <x:c r="N34" s="38"/>
      <x:c r="O34" s="38"/>
      <x:c r="P34" s="38"/>
      <x:c r="Q34" s="38"/>
      <x:c r="R34" s="38"/>
      <x:c r="S34" s="38" t="str">
        <x:f>IF(R34="Approved Current","Yes","No")</x:f>
        <x:v>No</x:v>
      </x:c>
      <x:c r="T34" s="38"/>
      <x:c r="U34" s="38"/>
      <x:c r="V34" s="38"/>
      <x:c r="W34" s="38"/>
      <x:c r="X34" s="38" t="str">
        <x:f>IF(D34="","",IF(V34&lt;&gt;"",V34,IF(J34="Walkover",IF(K34=XLOOKUP(D34,Fixtures!$A$5:$A$204,Fixtures!$D$5:$D$204,""),Rules!$C$12,IF(K34=XLOOKUP(D34,Fixtures!$A$5:$A$204,Fixtures!$F$5:$F$204,""),Rules!$C$13,"")),H34)))</x:f>
      </x:c>
      <x:c r="Y34" s="38" t="str">
        <x:f>IF(D34="","",IF(W34&lt;&gt;"",W34,IF(J34="Walkover",IF(K34=XLOOKUP(D34,Fixtures!$A$5:$A$204,Fixtures!$F$5:$F$204,""),Rules!$C$12,IF(K34=XLOOKUP(D34,Fixtures!$A$5:$A$204,Fixtures!$D$5:$D$204,""),Rules!$C$13,"")),I34)))</x:f>
      </x:c>
      <x:c r="Z34" s="38" t="str">
        <x:f>IF(D34="","",IF(AND(R34="Approved Current",OR(J34="Played",J34="Walkover")),"Yes","No"))</x:f>
      </x:c>
      <x:c r="AA34" s="38" t="str">
        <x:f>IF(D34="","",IF(AND(R34="Approved Current",COUNTIFS($D$5:$D$204,D34,$R$5:$R$204,"Approved Current")&gt;1),"Multiple Approved Current",IF(AND(J34="Walkover",K34=""),"Walkover missing winner","OK")))</x:f>
      </x:c>
    </x:row>
    <x:row r="35" ht="15" hidden="0" customHeight="1">
      <x:c r="A35" s="67"/>
      <x:c r="B35" s="38"/>
      <x:c r="C35" s="38"/>
      <x:c r="D35" s="38"/>
      <x:c r="E35" s="38" t="str">
        <x:f>IFERROR(XLOOKUP(D35,Fixtures!$A$5:$A$204,Fixtures!$M$5:$M$204,""),"")</x:f>
      </x:c>
      <x:c r="F35" s="38" t="str">
        <x:f>IFERROR(XLOOKUP(D35,Fixtures!$A$5:$A$204,Fixtures!$E$5:$E$204,""),"")</x:f>
      </x:c>
      <x:c r="G35" s="38" t="str">
        <x:f>IFERROR(XLOOKUP(D35,Fixtures!$A$5:$A$204,Fixtures!$G$5:$G$204,""),"")</x:f>
      </x:c>
      <x:c r="H35" s="38"/>
      <x:c r="I35" s="38"/>
      <x:c r="J35" s="38"/>
      <x:c r="K35" s="38"/>
      <x:c r="L35" s="60"/>
      <x:c r="M35" s="38"/>
      <x:c r="N35" s="38"/>
      <x:c r="O35" s="38"/>
      <x:c r="P35" s="38"/>
      <x:c r="Q35" s="38"/>
      <x:c r="R35" s="38"/>
      <x:c r="S35" s="38" t="str">
        <x:f>IF(R35="Approved Current","Yes","No")</x:f>
        <x:v>No</x:v>
      </x:c>
      <x:c r="T35" s="38"/>
      <x:c r="U35" s="38"/>
      <x:c r="V35" s="38"/>
      <x:c r="W35" s="38"/>
      <x:c r="X35" s="38" t="str">
        <x:f>IF(D35="","",IF(V35&lt;&gt;"",V35,IF(J35="Walkover",IF(K35=XLOOKUP(D35,Fixtures!$A$5:$A$204,Fixtures!$D$5:$D$204,""),Rules!$C$12,IF(K35=XLOOKUP(D35,Fixtures!$A$5:$A$204,Fixtures!$F$5:$F$204,""),Rules!$C$13,"")),H35)))</x:f>
      </x:c>
      <x:c r="Y35" s="38" t="str">
        <x:f>IF(D35="","",IF(W35&lt;&gt;"",W35,IF(J35="Walkover",IF(K35=XLOOKUP(D35,Fixtures!$A$5:$A$204,Fixtures!$F$5:$F$204,""),Rules!$C$12,IF(K35=XLOOKUP(D35,Fixtures!$A$5:$A$204,Fixtures!$D$5:$D$204,""),Rules!$C$13,"")),I35)))</x:f>
      </x:c>
      <x:c r="Z35" s="38" t="str">
        <x:f>IF(D35="","",IF(AND(R35="Approved Current",OR(J35="Played",J35="Walkover")),"Yes","No"))</x:f>
      </x:c>
      <x:c r="AA35" s="38" t="str">
        <x:f>IF(D35="","",IF(AND(R35="Approved Current",COUNTIFS($D$5:$D$204,D35,$R$5:$R$204,"Approved Current")&gt;1),"Multiple Approved Current",IF(AND(J35="Walkover",K35=""),"Walkover missing winner","OK")))</x:f>
      </x:c>
    </x:row>
    <x:row r="36" ht="15" hidden="0" customHeight="1">
      <x:c r="A36" s="67"/>
      <x:c r="B36" s="38"/>
      <x:c r="C36" s="38"/>
      <x:c r="D36" s="38"/>
      <x:c r="E36" s="38" t="str">
        <x:f>IFERROR(XLOOKUP(D36,Fixtures!$A$5:$A$204,Fixtures!$M$5:$M$204,""),"")</x:f>
      </x:c>
      <x:c r="F36" s="38" t="str">
        <x:f>IFERROR(XLOOKUP(D36,Fixtures!$A$5:$A$204,Fixtures!$E$5:$E$204,""),"")</x:f>
      </x:c>
      <x:c r="G36" s="38" t="str">
        <x:f>IFERROR(XLOOKUP(D36,Fixtures!$A$5:$A$204,Fixtures!$G$5:$G$204,""),"")</x:f>
      </x:c>
      <x:c r="H36" s="38"/>
      <x:c r="I36" s="38"/>
      <x:c r="J36" s="38"/>
      <x:c r="K36" s="38"/>
      <x:c r="L36" s="60"/>
      <x:c r="M36" s="38"/>
      <x:c r="N36" s="38"/>
      <x:c r="O36" s="38"/>
      <x:c r="P36" s="38"/>
      <x:c r="Q36" s="38"/>
      <x:c r="R36" s="38"/>
      <x:c r="S36" s="38" t="str">
        <x:f>IF(R36="Approved Current","Yes","No")</x:f>
        <x:v>No</x:v>
      </x:c>
      <x:c r="T36" s="38"/>
      <x:c r="U36" s="38"/>
      <x:c r="V36" s="38"/>
      <x:c r="W36" s="38"/>
      <x:c r="X36" s="38" t="str">
        <x:f>IF(D36="","",IF(V36&lt;&gt;"",V36,IF(J36="Walkover",IF(K36=XLOOKUP(D36,Fixtures!$A$5:$A$204,Fixtures!$D$5:$D$204,""),Rules!$C$12,IF(K36=XLOOKUP(D36,Fixtures!$A$5:$A$204,Fixtures!$F$5:$F$204,""),Rules!$C$13,"")),H36)))</x:f>
      </x:c>
      <x:c r="Y36" s="38" t="str">
        <x:f>IF(D36="","",IF(W36&lt;&gt;"",W36,IF(J36="Walkover",IF(K36=XLOOKUP(D36,Fixtures!$A$5:$A$204,Fixtures!$F$5:$F$204,""),Rules!$C$12,IF(K36=XLOOKUP(D36,Fixtures!$A$5:$A$204,Fixtures!$D$5:$D$204,""),Rules!$C$13,"")),I36)))</x:f>
      </x:c>
      <x:c r="Z36" s="38" t="str">
        <x:f>IF(D36="","",IF(AND(R36="Approved Current",OR(J36="Played",J36="Walkover")),"Yes","No"))</x:f>
      </x:c>
      <x:c r="AA36" s="38" t="str">
        <x:f>IF(D36="","",IF(AND(R36="Approved Current",COUNTIFS($D$5:$D$204,D36,$R$5:$R$204,"Approved Current")&gt;1),"Multiple Approved Current",IF(AND(J36="Walkover",K36=""),"Walkover missing winner","OK")))</x:f>
      </x:c>
    </x:row>
    <x:row r="37" ht="15" hidden="0" customHeight="1">
      <x:c r="A37" s="67"/>
      <x:c r="B37" s="38"/>
      <x:c r="C37" s="38"/>
      <x:c r="D37" s="38"/>
      <x:c r="E37" s="38" t="str">
        <x:f>IFERROR(XLOOKUP(D37,Fixtures!$A$5:$A$204,Fixtures!$M$5:$M$204,""),"")</x:f>
      </x:c>
      <x:c r="F37" s="38" t="str">
        <x:f>IFERROR(XLOOKUP(D37,Fixtures!$A$5:$A$204,Fixtures!$E$5:$E$204,""),"")</x:f>
      </x:c>
      <x:c r="G37" s="38" t="str">
        <x:f>IFERROR(XLOOKUP(D37,Fixtures!$A$5:$A$204,Fixtures!$G$5:$G$204,""),"")</x:f>
      </x:c>
      <x:c r="H37" s="38"/>
      <x:c r="I37" s="38"/>
      <x:c r="J37" s="38"/>
      <x:c r="K37" s="38"/>
      <x:c r="L37" s="60"/>
      <x:c r="M37" s="38"/>
      <x:c r="N37" s="38"/>
      <x:c r="O37" s="38"/>
      <x:c r="P37" s="38"/>
      <x:c r="Q37" s="38"/>
      <x:c r="R37" s="38"/>
      <x:c r="S37" s="38" t="str">
        <x:f>IF(R37="Approved Current","Yes","No")</x:f>
        <x:v>No</x:v>
      </x:c>
      <x:c r="T37" s="38"/>
      <x:c r="U37" s="38"/>
      <x:c r="V37" s="38"/>
      <x:c r="W37" s="38"/>
      <x:c r="X37" s="38" t="str">
        <x:f>IF(D37="","",IF(V37&lt;&gt;"",V37,IF(J37="Walkover",IF(K37=XLOOKUP(D37,Fixtures!$A$5:$A$204,Fixtures!$D$5:$D$204,""),Rules!$C$12,IF(K37=XLOOKUP(D37,Fixtures!$A$5:$A$204,Fixtures!$F$5:$F$204,""),Rules!$C$13,"")),H37)))</x:f>
      </x:c>
      <x:c r="Y37" s="38" t="str">
        <x:f>IF(D37="","",IF(W37&lt;&gt;"",W37,IF(J37="Walkover",IF(K37=XLOOKUP(D37,Fixtures!$A$5:$A$204,Fixtures!$F$5:$F$204,""),Rules!$C$12,IF(K37=XLOOKUP(D37,Fixtures!$A$5:$A$204,Fixtures!$D$5:$D$204,""),Rules!$C$13,"")),I37)))</x:f>
      </x:c>
      <x:c r="Z37" s="38" t="str">
        <x:f>IF(D37="","",IF(AND(R37="Approved Current",OR(J37="Played",J37="Walkover")),"Yes","No"))</x:f>
      </x:c>
      <x:c r="AA37" s="38" t="str">
        <x:f>IF(D37="","",IF(AND(R37="Approved Current",COUNTIFS($D$5:$D$204,D37,$R$5:$R$204,"Approved Current")&gt;1),"Multiple Approved Current",IF(AND(J37="Walkover",K37=""),"Walkover missing winner","OK")))</x:f>
      </x:c>
    </x:row>
    <x:row r="38" ht="15" hidden="0" customHeight="1">
      <x:c r="A38" s="67"/>
      <x:c r="B38" s="38"/>
      <x:c r="C38" s="38"/>
      <x:c r="D38" s="38"/>
      <x:c r="E38" s="38" t="str">
        <x:f>IFERROR(XLOOKUP(D38,Fixtures!$A$5:$A$204,Fixtures!$M$5:$M$204,""),"")</x:f>
      </x:c>
      <x:c r="F38" s="38" t="str">
        <x:f>IFERROR(XLOOKUP(D38,Fixtures!$A$5:$A$204,Fixtures!$E$5:$E$204,""),"")</x:f>
      </x:c>
      <x:c r="G38" s="38" t="str">
        <x:f>IFERROR(XLOOKUP(D38,Fixtures!$A$5:$A$204,Fixtures!$G$5:$G$204,""),"")</x:f>
      </x:c>
      <x:c r="H38" s="38"/>
      <x:c r="I38" s="38"/>
      <x:c r="J38" s="38"/>
      <x:c r="K38" s="38"/>
      <x:c r="L38" s="60"/>
      <x:c r="M38" s="38"/>
      <x:c r="N38" s="38"/>
      <x:c r="O38" s="38"/>
      <x:c r="P38" s="38"/>
      <x:c r="Q38" s="38"/>
      <x:c r="R38" s="38"/>
      <x:c r="S38" s="38" t="str">
        <x:f>IF(R38="Approved Current","Yes","No")</x:f>
        <x:v>No</x:v>
      </x:c>
      <x:c r="T38" s="38"/>
      <x:c r="U38" s="38"/>
      <x:c r="V38" s="38"/>
      <x:c r="W38" s="38"/>
      <x:c r="X38" s="38" t="str">
        <x:f>IF(D38="","",IF(V38&lt;&gt;"",V38,IF(J38="Walkover",IF(K38=XLOOKUP(D38,Fixtures!$A$5:$A$204,Fixtures!$D$5:$D$204,""),Rules!$C$12,IF(K38=XLOOKUP(D38,Fixtures!$A$5:$A$204,Fixtures!$F$5:$F$204,""),Rules!$C$13,"")),H38)))</x:f>
      </x:c>
      <x:c r="Y38" s="38" t="str">
        <x:f>IF(D38="","",IF(W38&lt;&gt;"",W38,IF(J38="Walkover",IF(K38=XLOOKUP(D38,Fixtures!$A$5:$A$204,Fixtures!$F$5:$F$204,""),Rules!$C$12,IF(K38=XLOOKUP(D38,Fixtures!$A$5:$A$204,Fixtures!$D$5:$D$204,""),Rules!$C$13,"")),I38)))</x:f>
      </x:c>
      <x:c r="Z38" s="38" t="str">
        <x:f>IF(D38="","",IF(AND(R38="Approved Current",OR(J38="Played",J38="Walkover")),"Yes","No"))</x:f>
      </x:c>
      <x:c r="AA38" s="38" t="str">
        <x:f>IF(D38="","",IF(AND(R38="Approved Current",COUNTIFS($D$5:$D$204,D38,$R$5:$R$204,"Approved Current")&gt;1),"Multiple Approved Current",IF(AND(J38="Walkover",K38=""),"Walkover missing winner","OK")))</x:f>
      </x:c>
    </x:row>
    <x:row r="39" ht="15" hidden="0" customHeight="1">
      <x:c r="A39" s="67"/>
      <x:c r="B39" s="38"/>
      <x:c r="C39" s="38"/>
      <x:c r="D39" s="38"/>
      <x:c r="E39" s="38" t="str">
        <x:f>IFERROR(XLOOKUP(D39,Fixtures!$A$5:$A$204,Fixtures!$M$5:$M$204,""),"")</x:f>
      </x:c>
      <x:c r="F39" s="38" t="str">
        <x:f>IFERROR(XLOOKUP(D39,Fixtures!$A$5:$A$204,Fixtures!$E$5:$E$204,""),"")</x:f>
      </x:c>
      <x:c r="G39" s="38" t="str">
        <x:f>IFERROR(XLOOKUP(D39,Fixtures!$A$5:$A$204,Fixtures!$G$5:$G$204,""),"")</x:f>
      </x:c>
      <x:c r="H39" s="38"/>
      <x:c r="I39" s="38"/>
      <x:c r="J39" s="38"/>
      <x:c r="K39" s="38"/>
      <x:c r="L39" s="60"/>
      <x:c r="M39" s="38"/>
      <x:c r="N39" s="38"/>
      <x:c r="O39" s="38"/>
      <x:c r="P39" s="38"/>
      <x:c r="Q39" s="38"/>
      <x:c r="R39" s="38"/>
      <x:c r="S39" s="38" t="str">
        <x:f>IF(R39="Approved Current","Yes","No")</x:f>
        <x:v>No</x:v>
      </x:c>
      <x:c r="T39" s="38"/>
      <x:c r="U39" s="38"/>
      <x:c r="V39" s="38"/>
      <x:c r="W39" s="38"/>
      <x:c r="X39" s="38" t="str">
        <x:f>IF(D39="","",IF(V39&lt;&gt;"",V39,IF(J39="Walkover",IF(K39=XLOOKUP(D39,Fixtures!$A$5:$A$204,Fixtures!$D$5:$D$204,""),Rules!$C$12,IF(K39=XLOOKUP(D39,Fixtures!$A$5:$A$204,Fixtures!$F$5:$F$204,""),Rules!$C$13,"")),H39)))</x:f>
      </x:c>
      <x:c r="Y39" s="38" t="str">
        <x:f>IF(D39="","",IF(W39&lt;&gt;"",W39,IF(J39="Walkover",IF(K39=XLOOKUP(D39,Fixtures!$A$5:$A$204,Fixtures!$F$5:$F$204,""),Rules!$C$12,IF(K39=XLOOKUP(D39,Fixtures!$A$5:$A$204,Fixtures!$D$5:$D$204,""),Rules!$C$13,"")),I39)))</x:f>
      </x:c>
      <x:c r="Z39" s="38" t="str">
        <x:f>IF(D39="","",IF(AND(R39="Approved Current",OR(J39="Played",J39="Walkover")),"Yes","No"))</x:f>
      </x:c>
      <x:c r="AA39" s="38" t="str">
        <x:f>IF(D39="","",IF(AND(R39="Approved Current",COUNTIFS($D$5:$D$204,D39,$R$5:$R$204,"Approved Current")&gt;1),"Multiple Approved Current",IF(AND(J39="Walkover",K39=""),"Walkover missing winner","OK")))</x:f>
      </x:c>
    </x:row>
    <x:row r="40" ht="15" hidden="0" customHeight="1">
      <x:c r="A40" s="67"/>
      <x:c r="B40" s="38"/>
      <x:c r="C40" s="38"/>
      <x:c r="D40" s="38"/>
      <x:c r="E40" s="38" t="str">
        <x:f>IFERROR(XLOOKUP(D40,Fixtures!$A$5:$A$204,Fixtures!$M$5:$M$204,""),"")</x:f>
      </x:c>
      <x:c r="F40" s="38" t="str">
        <x:f>IFERROR(XLOOKUP(D40,Fixtures!$A$5:$A$204,Fixtures!$E$5:$E$204,""),"")</x:f>
      </x:c>
      <x:c r="G40" s="38" t="str">
        <x:f>IFERROR(XLOOKUP(D40,Fixtures!$A$5:$A$204,Fixtures!$G$5:$G$204,""),"")</x:f>
      </x:c>
      <x:c r="H40" s="38"/>
      <x:c r="I40" s="38"/>
      <x:c r="J40" s="38"/>
      <x:c r="K40" s="38"/>
      <x:c r="L40" s="60"/>
      <x:c r="M40" s="38"/>
      <x:c r="N40" s="38"/>
      <x:c r="O40" s="38"/>
      <x:c r="P40" s="38"/>
      <x:c r="Q40" s="38"/>
      <x:c r="R40" s="38"/>
      <x:c r="S40" s="38" t="str">
        <x:f>IF(R40="Approved Current","Yes","No")</x:f>
        <x:v>No</x:v>
      </x:c>
      <x:c r="T40" s="38"/>
      <x:c r="U40" s="38"/>
      <x:c r="V40" s="38"/>
      <x:c r="W40" s="38"/>
      <x:c r="X40" s="38" t="str">
        <x:f>IF(D40="","",IF(V40&lt;&gt;"",V40,IF(J40="Walkover",IF(K40=XLOOKUP(D40,Fixtures!$A$5:$A$204,Fixtures!$D$5:$D$204,""),Rules!$C$12,IF(K40=XLOOKUP(D40,Fixtures!$A$5:$A$204,Fixtures!$F$5:$F$204,""),Rules!$C$13,"")),H40)))</x:f>
      </x:c>
      <x:c r="Y40" s="38" t="str">
        <x:f>IF(D40="","",IF(W40&lt;&gt;"",W40,IF(J40="Walkover",IF(K40=XLOOKUP(D40,Fixtures!$A$5:$A$204,Fixtures!$F$5:$F$204,""),Rules!$C$12,IF(K40=XLOOKUP(D40,Fixtures!$A$5:$A$204,Fixtures!$D$5:$D$204,""),Rules!$C$13,"")),I40)))</x:f>
      </x:c>
      <x:c r="Z40" s="38" t="str">
        <x:f>IF(D40="","",IF(AND(R40="Approved Current",OR(J40="Played",J40="Walkover")),"Yes","No"))</x:f>
      </x:c>
      <x:c r="AA40" s="38" t="str">
        <x:f>IF(D40="","",IF(AND(R40="Approved Current",COUNTIFS($D$5:$D$204,D40,$R$5:$R$204,"Approved Current")&gt;1),"Multiple Approved Current",IF(AND(J40="Walkover",K40=""),"Walkover missing winner","OK")))</x:f>
      </x:c>
    </x:row>
    <x:row r="41" ht="15" hidden="0" customHeight="1">
      <x:c r="A41" s="67"/>
      <x:c r="B41" s="38"/>
      <x:c r="C41" s="38"/>
      <x:c r="D41" s="38"/>
      <x:c r="E41" s="38" t="str">
        <x:f>IFERROR(XLOOKUP(D41,Fixtures!$A$5:$A$204,Fixtures!$M$5:$M$204,""),"")</x:f>
      </x:c>
      <x:c r="F41" s="38" t="str">
        <x:f>IFERROR(XLOOKUP(D41,Fixtures!$A$5:$A$204,Fixtures!$E$5:$E$204,""),"")</x:f>
      </x:c>
      <x:c r="G41" s="38" t="str">
        <x:f>IFERROR(XLOOKUP(D41,Fixtures!$A$5:$A$204,Fixtures!$G$5:$G$204,""),"")</x:f>
      </x:c>
      <x:c r="H41" s="38"/>
      <x:c r="I41" s="38"/>
      <x:c r="J41" s="38"/>
      <x:c r="K41" s="38"/>
      <x:c r="L41" s="60"/>
      <x:c r="M41" s="38"/>
      <x:c r="N41" s="38"/>
      <x:c r="O41" s="38"/>
      <x:c r="P41" s="38"/>
      <x:c r="Q41" s="38"/>
      <x:c r="R41" s="38"/>
      <x:c r="S41" s="38" t="str">
        <x:f>IF(R41="Approved Current","Yes","No")</x:f>
        <x:v>No</x:v>
      </x:c>
      <x:c r="T41" s="38"/>
      <x:c r="U41" s="38"/>
      <x:c r="V41" s="38"/>
      <x:c r="W41" s="38"/>
      <x:c r="X41" s="38" t="str">
        <x:f>IF(D41="","",IF(V41&lt;&gt;"",V41,IF(J41="Walkover",IF(K41=XLOOKUP(D41,Fixtures!$A$5:$A$204,Fixtures!$D$5:$D$204,""),Rules!$C$12,IF(K41=XLOOKUP(D41,Fixtures!$A$5:$A$204,Fixtures!$F$5:$F$204,""),Rules!$C$13,"")),H41)))</x:f>
      </x:c>
      <x:c r="Y41" s="38" t="str">
        <x:f>IF(D41="","",IF(W41&lt;&gt;"",W41,IF(J41="Walkover",IF(K41=XLOOKUP(D41,Fixtures!$A$5:$A$204,Fixtures!$F$5:$F$204,""),Rules!$C$12,IF(K41=XLOOKUP(D41,Fixtures!$A$5:$A$204,Fixtures!$D$5:$D$204,""),Rules!$C$13,"")),I41)))</x:f>
      </x:c>
      <x:c r="Z41" s="38" t="str">
        <x:f>IF(D41="","",IF(AND(R41="Approved Current",OR(J41="Played",J41="Walkover")),"Yes","No"))</x:f>
      </x:c>
      <x:c r="AA41" s="38" t="str">
        <x:f>IF(D41="","",IF(AND(R41="Approved Current",COUNTIFS($D$5:$D$204,D41,$R$5:$R$204,"Approved Current")&gt;1),"Multiple Approved Current",IF(AND(J41="Walkover",K41=""),"Walkover missing winner","OK")))</x:f>
      </x:c>
    </x:row>
    <x:row r="42" ht="15" hidden="0" customHeight="1">
      <x:c r="A42" s="67"/>
      <x:c r="B42" s="38"/>
      <x:c r="C42" s="38"/>
      <x:c r="D42" s="38"/>
      <x:c r="E42" s="38" t="str">
        <x:f>IFERROR(XLOOKUP(D42,Fixtures!$A$5:$A$204,Fixtures!$M$5:$M$204,""),"")</x:f>
      </x:c>
      <x:c r="F42" s="38" t="str">
        <x:f>IFERROR(XLOOKUP(D42,Fixtures!$A$5:$A$204,Fixtures!$E$5:$E$204,""),"")</x:f>
      </x:c>
      <x:c r="G42" s="38" t="str">
        <x:f>IFERROR(XLOOKUP(D42,Fixtures!$A$5:$A$204,Fixtures!$G$5:$G$204,""),"")</x:f>
      </x:c>
      <x:c r="H42" s="38"/>
      <x:c r="I42" s="38"/>
      <x:c r="J42" s="38"/>
      <x:c r="K42" s="38"/>
      <x:c r="L42" s="60"/>
      <x:c r="M42" s="38"/>
      <x:c r="N42" s="38"/>
      <x:c r="O42" s="38"/>
      <x:c r="P42" s="38"/>
      <x:c r="Q42" s="38"/>
      <x:c r="R42" s="38"/>
      <x:c r="S42" s="38" t="str">
        <x:f>IF(R42="Approved Current","Yes","No")</x:f>
        <x:v>No</x:v>
      </x:c>
      <x:c r="T42" s="38"/>
      <x:c r="U42" s="38"/>
      <x:c r="V42" s="38"/>
      <x:c r="W42" s="38"/>
      <x:c r="X42" s="38" t="str">
        <x:f>IF(D42="","",IF(V42&lt;&gt;"",V42,IF(J42="Walkover",IF(K42=XLOOKUP(D42,Fixtures!$A$5:$A$204,Fixtures!$D$5:$D$204,""),Rules!$C$12,IF(K42=XLOOKUP(D42,Fixtures!$A$5:$A$204,Fixtures!$F$5:$F$204,""),Rules!$C$13,"")),H42)))</x:f>
      </x:c>
      <x:c r="Y42" s="38" t="str">
        <x:f>IF(D42="","",IF(W42&lt;&gt;"",W42,IF(J42="Walkover",IF(K42=XLOOKUP(D42,Fixtures!$A$5:$A$204,Fixtures!$F$5:$F$204,""),Rules!$C$12,IF(K42=XLOOKUP(D42,Fixtures!$A$5:$A$204,Fixtures!$D$5:$D$204,""),Rules!$C$13,"")),I42)))</x:f>
      </x:c>
      <x:c r="Z42" s="38" t="str">
        <x:f>IF(D42="","",IF(AND(R42="Approved Current",OR(J42="Played",J42="Walkover")),"Yes","No"))</x:f>
      </x:c>
      <x:c r="AA42" s="38" t="str">
        <x:f>IF(D42="","",IF(AND(R42="Approved Current",COUNTIFS($D$5:$D$204,D42,$R$5:$R$204,"Approved Current")&gt;1),"Multiple Approved Current",IF(AND(J42="Walkover",K42=""),"Walkover missing winner","OK")))</x:f>
      </x:c>
    </x:row>
    <x:row r="43" ht="15" hidden="0" customHeight="1">
      <x:c r="A43" s="67"/>
      <x:c r="B43" s="38"/>
      <x:c r="C43" s="38"/>
      <x:c r="D43" s="38"/>
      <x:c r="E43" s="38" t="str">
        <x:f>IFERROR(XLOOKUP(D43,Fixtures!$A$5:$A$204,Fixtures!$M$5:$M$204,""),"")</x:f>
      </x:c>
      <x:c r="F43" s="38" t="str">
        <x:f>IFERROR(XLOOKUP(D43,Fixtures!$A$5:$A$204,Fixtures!$E$5:$E$204,""),"")</x:f>
      </x:c>
      <x:c r="G43" s="38" t="str">
        <x:f>IFERROR(XLOOKUP(D43,Fixtures!$A$5:$A$204,Fixtures!$G$5:$G$204,""),"")</x:f>
      </x:c>
      <x:c r="H43" s="38"/>
      <x:c r="I43" s="38"/>
      <x:c r="J43" s="38"/>
      <x:c r="K43" s="38"/>
      <x:c r="L43" s="60"/>
      <x:c r="M43" s="38"/>
      <x:c r="N43" s="38"/>
      <x:c r="O43" s="38"/>
      <x:c r="P43" s="38"/>
      <x:c r="Q43" s="38"/>
      <x:c r="R43" s="38"/>
      <x:c r="S43" s="38" t="str">
        <x:f>IF(R43="Approved Current","Yes","No")</x:f>
        <x:v>No</x:v>
      </x:c>
      <x:c r="T43" s="38"/>
      <x:c r="U43" s="38"/>
      <x:c r="V43" s="38"/>
      <x:c r="W43" s="38"/>
      <x:c r="X43" s="38" t="str">
        <x:f>IF(D43="","",IF(V43&lt;&gt;"",V43,IF(J43="Walkover",IF(K43=XLOOKUP(D43,Fixtures!$A$5:$A$204,Fixtures!$D$5:$D$204,""),Rules!$C$12,IF(K43=XLOOKUP(D43,Fixtures!$A$5:$A$204,Fixtures!$F$5:$F$204,""),Rules!$C$13,"")),H43)))</x:f>
      </x:c>
      <x:c r="Y43" s="38" t="str">
        <x:f>IF(D43="","",IF(W43&lt;&gt;"",W43,IF(J43="Walkover",IF(K43=XLOOKUP(D43,Fixtures!$A$5:$A$204,Fixtures!$F$5:$F$204,""),Rules!$C$12,IF(K43=XLOOKUP(D43,Fixtures!$A$5:$A$204,Fixtures!$D$5:$D$204,""),Rules!$C$13,"")),I43)))</x:f>
      </x:c>
      <x:c r="Z43" s="38" t="str">
        <x:f>IF(D43="","",IF(AND(R43="Approved Current",OR(J43="Played",J43="Walkover")),"Yes","No"))</x:f>
      </x:c>
      <x:c r="AA43" s="38" t="str">
        <x:f>IF(D43="","",IF(AND(R43="Approved Current",COUNTIFS($D$5:$D$204,D43,$R$5:$R$204,"Approved Current")&gt;1),"Multiple Approved Current",IF(AND(J43="Walkover",K43=""),"Walkover missing winner","OK")))</x:f>
      </x:c>
    </x:row>
    <x:row r="44" ht="15" hidden="0" customHeight="1">
      <x:c r="A44" s="67"/>
      <x:c r="B44" s="38"/>
      <x:c r="C44" s="38"/>
      <x:c r="D44" s="38"/>
      <x:c r="E44" s="38" t="str">
        <x:f>IFERROR(XLOOKUP(D44,Fixtures!$A$5:$A$204,Fixtures!$M$5:$M$204,""),"")</x:f>
      </x:c>
      <x:c r="F44" s="38" t="str">
        <x:f>IFERROR(XLOOKUP(D44,Fixtures!$A$5:$A$204,Fixtures!$E$5:$E$204,""),"")</x:f>
      </x:c>
      <x:c r="G44" s="38" t="str">
        <x:f>IFERROR(XLOOKUP(D44,Fixtures!$A$5:$A$204,Fixtures!$G$5:$G$204,""),"")</x:f>
      </x:c>
      <x:c r="H44" s="38"/>
      <x:c r="I44" s="38"/>
      <x:c r="J44" s="38"/>
      <x:c r="K44" s="38"/>
      <x:c r="L44" s="60"/>
      <x:c r="M44" s="38"/>
      <x:c r="N44" s="38"/>
      <x:c r="O44" s="38"/>
      <x:c r="P44" s="38"/>
      <x:c r="Q44" s="38"/>
      <x:c r="R44" s="38"/>
      <x:c r="S44" s="38" t="str">
        <x:f>IF(R44="Approved Current","Yes","No")</x:f>
        <x:v>No</x:v>
      </x:c>
      <x:c r="T44" s="38"/>
      <x:c r="U44" s="38"/>
      <x:c r="V44" s="38"/>
      <x:c r="W44" s="38"/>
      <x:c r="X44" s="38" t="str">
        <x:f>IF(D44="","",IF(V44&lt;&gt;"",V44,IF(J44="Walkover",IF(K44=XLOOKUP(D44,Fixtures!$A$5:$A$204,Fixtures!$D$5:$D$204,""),Rules!$C$12,IF(K44=XLOOKUP(D44,Fixtures!$A$5:$A$204,Fixtures!$F$5:$F$204,""),Rules!$C$13,"")),H44)))</x:f>
      </x:c>
      <x:c r="Y44" s="38" t="str">
        <x:f>IF(D44="","",IF(W44&lt;&gt;"",W44,IF(J44="Walkover",IF(K44=XLOOKUP(D44,Fixtures!$A$5:$A$204,Fixtures!$F$5:$F$204,""),Rules!$C$12,IF(K44=XLOOKUP(D44,Fixtures!$A$5:$A$204,Fixtures!$D$5:$D$204,""),Rules!$C$13,"")),I44)))</x:f>
      </x:c>
      <x:c r="Z44" s="38" t="str">
        <x:f>IF(D44="","",IF(AND(R44="Approved Current",OR(J44="Played",J44="Walkover")),"Yes","No"))</x:f>
      </x:c>
      <x:c r="AA44" s="38" t="str">
        <x:f>IF(D44="","",IF(AND(R44="Approved Current",COUNTIFS($D$5:$D$204,D44,$R$5:$R$204,"Approved Current")&gt;1),"Multiple Approved Current",IF(AND(J44="Walkover",K44=""),"Walkover missing winner","OK")))</x:f>
      </x:c>
    </x:row>
    <x:row r="45" ht="15" hidden="0" customHeight="1">
      <x:c r="A45" s="67"/>
      <x:c r="B45" s="38"/>
      <x:c r="C45" s="38"/>
      <x:c r="D45" s="38"/>
      <x:c r="E45" s="38" t="str">
        <x:f>IFERROR(XLOOKUP(D45,Fixtures!$A$5:$A$204,Fixtures!$M$5:$M$204,""),"")</x:f>
      </x:c>
      <x:c r="F45" s="38" t="str">
        <x:f>IFERROR(XLOOKUP(D45,Fixtures!$A$5:$A$204,Fixtures!$E$5:$E$204,""),"")</x:f>
      </x:c>
      <x:c r="G45" s="38" t="str">
        <x:f>IFERROR(XLOOKUP(D45,Fixtures!$A$5:$A$204,Fixtures!$G$5:$G$204,""),"")</x:f>
      </x:c>
      <x:c r="H45" s="38"/>
      <x:c r="I45" s="38"/>
      <x:c r="J45" s="38"/>
      <x:c r="K45" s="38"/>
      <x:c r="L45" s="60"/>
      <x:c r="M45" s="38"/>
      <x:c r="N45" s="38"/>
      <x:c r="O45" s="38"/>
      <x:c r="P45" s="38"/>
      <x:c r="Q45" s="38"/>
      <x:c r="R45" s="38"/>
      <x:c r="S45" s="38" t="str">
        <x:f>IF(R45="Approved Current","Yes","No")</x:f>
        <x:v>No</x:v>
      </x:c>
      <x:c r="T45" s="38"/>
      <x:c r="U45" s="38"/>
      <x:c r="V45" s="38"/>
      <x:c r="W45" s="38"/>
      <x:c r="X45" s="38" t="str">
        <x:f>IF(D45="","",IF(V45&lt;&gt;"",V45,IF(J45="Walkover",IF(K45=XLOOKUP(D45,Fixtures!$A$5:$A$204,Fixtures!$D$5:$D$204,""),Rules!$C$12,IF(K45=XLOOKUP(D45,Fixtures!$A$5:$A$204,Fixtures!$F$5:$F$204,""),Rules!$C$13,"")),H45)))</x:f>
      </x:c>
      <x:c r="Y45" s="38" t="str">
        <x:f>IF(D45="","",IF(W45&lt;&gt;"",W45,IF(J45="Walkover",IF(K45=XLOOKUP(D45,Fixtures!$A$5:$A$204,Fixtures!$F$5:$F$204,""),Rules!$C$12,IF(K45=XLOOKUP(D45,Fixtures!$A$5:$A$204,Fixtures!$D$5:$D$204,""),Rules!$C$13,"")),I45)))</x:f>
      </x:c>
      <x:c r="Z45" s="38" t="str">
        <x:f>IF(D45="","",IF(AND(R45="Approved Current",OR(J45="Played",J45="Walkover")),"Yes","No"))</x:f>
      </x:c>
      <x:c r="AA45" s="38" t="str">
        <x:f>IF(D45="","",IF(AND(R45="Approved Current",COUNTIFS($D$5:$D$204,D45,$R$5:$R$204,"Approved Current")&gt;1),"Multiple Approved Current",IF(AND(J45="Walkover",K45=""),"Walkover missing winner","OK")))</x:f>
      </x:c>
    </x:row>
    <x:row r="46" ht="15" hidden="0" customHeight="1">
      <x:c r="A46" s="67"/>
      <x:c r="B46" s="38"/>
      <x:c r="C46" s="38"/>
      <x:c r="D46" s="38"/>
      <x:c r="E46" s="38" t="str">
        <x:f>IFERROR(XLOOKUP(D46,Fixtures!$A$5:$A$204,Fixtures!$M$5:$M$204,""),"")</x:f>
      </x:c>
      <x:c r="F46" s="38" t="str">
        <x:f>IFERROR(XLOOKUP(D46,Fixtures!$A$5:$A$204,Fixtures!$E$5:$E$204,""),"")</x:f>
      </x:c>
      <x:c r="G46" s="38" t="str">
        <x:f>IFERROR(XLOOKUP(D46,Fixtures!$A$5:$A$204,Fixtures!$G$5:$G$204,""),"")</x:f>
      </x:c>
      <x:c r="H46" s="38"/>
      <x:c r="I46" s="38"/>
      <x:c r="J46" s="38"/>
      <x:c r="K46" s="38"/>
      <x:c r="L46" s="60"/>
      <x:c r="M46" s="38"/>
      <x:c r="N46" s="38"/>
      <x:c r="O46" s="38"/>
      <x:c r="P46" s="38"/>
      <x:c r="Q46" s="38"/>
      <x:c r="R46" s="38"/>
      <x:c r="S46" s="38" t="str">
        <x:f>IF(R46="Approved Current","Yes","No")</x:f>
        <x:v>No</x:v>
      </x:c>
      <x:c r="T46" s="38"/>
      <x:c r="U46" s="38"/>
      <x:c r="V46" s="38"/>
      <x:c r="W46" s="38"/>
      <x:c r="X46" s="38" t="str">
        <x:f>IF(D46="","",IF(V46&lt;&gt;"",V46,IF(J46="Walkover",IF(K46=XLOOKUP(D46,Fixtures!$A$5:$A$204,Fixtures!$D$5:$D$204,""),Rules!$C$12,IF(K46=XLOOKUP(D46,Fixtures!$A$5:$A$204,Fixtures!$F$5:$F$204,""),Rules!$C$13,"")),H46)))</x:f>
      </x:c>
      <x:c r="Y46" s="38" t="str">
        <x:f>IF(D46="","",IF(W46&lt;&gt;"",W46,IF(J46="Walkover",IF(K46=XLOOKUP(D46,Fixtures!$A$5:$A$204,Fixtures!$F$5:$F$204,""),Rules!$C$12,IF(K46=XLOOKUP(D46,Fixtures!$A$5:$A$204,Fixtures!$D$5:$D$204,""),Rules!$C$13,"")),I46)))</x:f>
      </x:c>
      <x:c r="Z46" s="38" t="str">
        <x:f>IF(D46="","",IF(AND(R46="Approved Current",OR(J46="Played",J46="Walkover")),"Yes","No"))</x:f>
      </x:c>
      <x:c r="AA46" s="38" t="str">
        <x:f>IF(D46="","",IF(AND(R46="Approved Current",COUNTIFS($D$5:$D$204,D46,$R$5:$R$204,"Approved Current")&gt;1),"Multiple Approved Current",IF(AND(J46="Walkover",K46=""),"Walkover missing winner","OK")))</x:f>
      </x:c>
    </x:row>
    <x:row r="47" ht="15" hidden="0" customHeight="1">
      <x:c r="A47" s="67"/>
      <x:c r="B47" s="38"/>
      <x:c r="C47" s="38"/>
      <x:c r="D47" s="38"/>
      <x:c r="E47" s="38" t="str">
        <x:f>IFERROR(XLOOKUP(D47,Fixtures!$A$5:$A$204,Fixtures!$M$5:$M$204,""),"")</x:f>
      </x:c>
      <x:c r="F47" s="38" t="str">
        <x:f>IFERROR(XLOOKUP(D47,Fixtures!$A$5:$A$204,Fixtures!$E$5:$E$204,""),"")</x:f>
      </x:c>
      <x:c r="G47" s="38" t="str">
        <x:f>IFERROR(XLOOKUP(D47,Fixtures!$A$5:$A$204,Fixtures!$G$5:$G$204,""),"")</x:f>
      </x:c>
      <x:c r="H47" s="38"/>
      <x:c r="I47" s="38"/>
      <x:c r="J47" s="38"/>
      <x:c r="K47" s="38"/>
      <x:c r="L47" s="60"/>
      <x:c r="M47" s="38"/>
      <x:c r="N47" s="38"/>
      <x:c r="O47" s="38"/>
      <x:c r="P47" s="38"/>
      <x:c r="Q47" s="38"/>
      <x:c r="R47" s="38"/>
      <x:c r="S47" s="38" t="str">
        <x:f>IF(R47="Approved Current","Yes","No")</x:f>
        <x:v>No</x:v>
      </x:c>
      <x:c r="T47" s="38"/>
      <x:c r="U47" s="38"/>
      <x:c r="V47" s="38"/>
      <x:c r="W47" s="38"/>
      <x:c r="X47" s="38" t="str">
        <x:f>IF(D47="","",IF(V47&lt;&gt;"",V47,IF(J47="Walkover",IF(K47=XLOOKUP(D47,Fixtures!$A$5:$A$204,Fixtures!$D$5:$D$204,""),Rules!$C$12,IF(K47=XLOOKUP(D47,Fixtures!$A$5:$A$204,Fixtures!$F$5:$F$204,""),Rules!$C$13,"")),H47)))</x:f>
      </x:c>
      <x:c r="Y47" s="38" t="str">
        <x:f>IF(D47="","",IF(W47&lt;&gt;"",W47,IF(J47="Walkover",IF(K47=XLOOKUP(D47,Fixtures!$A$5:$A$204,Fixtures!$F$5:$F$204,""),Rules!$C$12,IF(K47=XLOOKUP(D47,Fixtures!$A$5:$A$204,Fixtures!$D$5:$D$204,""),Rules!$C$13,"")),I47)))</x:f>
      </x:c>
      <x:c r="Z47" s="38" t="str">
        <x:f>IF(D47="","",IF(AND(R47="Approved Current",OR(J47="Played",J47="Walkover")),"Yes","No"))</x:f>
      </x:c>
      <x:c r="AA47" s="38" t="str">
        <x:f>IF(D47="","",IF(AND(R47="Approved Current",COUNTIFS($D$5:$D$204,D47,$R$5:$R$204,"Approved Current")&gt;1),"Multiple Approved Current",IF(AND(J47="Walkover",K47=""),"Walkover missing winner","OK")))</x:f>
      </x:c>
    </x:row>
    <x:row r="48" ht="15" hidden="0" customHeight="1">
      <x:c r="A48" s="67"/>
      <x:c r="B48" s="38"/>
      <x:c r="C48" s="38"/>
      <x:c r="D48" s="38"/>
      <x:c r="E48" s="38" t="str">
        <x:f>IFERROR(XLOOKUP(D48,Fixtures!$A$5:$A$204,Fixtures!$M$5:$M$204,""),"")</x:f>
      </x:c>
      <x:c r="F48" s="38" t="str">
        <x:f>IFERROR(XLOOKUP(D48,Fixtures!$A$5:$A$204,Fixtures!$E$5:$E$204,""),"")</x:f>
      </x:c>
      <x:c r="G48" s="38" t="str">
        <x:f>IFERROR(XLOOKUP(D48,Fixtures!$A$5:$A$204,Fixtures!$G$5:$G$204,""),"")</x:f>
      </x:c>
      <x:c r="H48" s="38"/>
      <x:c r="I48" s="38"/>
      <x:c r="J48" s="38"/>
      <x:c r="K48" s="38"/>
      <x:c r="L48" s="60"/>
      <x:c r="M48" s="38"/>
      <x:c r="N48" s="38"/>
      <x:c r="O48" s="38"/>
      <x:c r="P48" s="38"/>
      <x:c r="Q48" s="38"/>
      <x:c r="R48" s="38"/>
      <x:c r="S48" s="38" t="str">
        <x:f>IF(R48="Approved Current","Yes","No")</x:f>
        <x:v>No</x:v>
      </x:c>
      <x:c r="T48" s="38"/>
      <x:c r="U48" s="38"/>
      <x:c r="V48" s="38"/>
      <x:c r="W48" s="38"/>
      <x:c r="X48" s="38" t="str">
        <x:f>IF(D48="","",IF(V48&lt;&gt;"",V48,IF(J48="Walkover",IF(K48=XLOOKUP(D48,Fixtures!$A$5:$A$204,Fixtures!$D$5:$D$204,""),Rules!$C$12,IF(K48=XLOOKUP(D48,Fixtures!$A$5:$A$204,Fixtures!$F$5:$F$204,""),Rules!$C$13,"")),H48)))</x:f>
      </x:c>
      <x:c r="Y48" s="38" t="str">
        <x:f>IF(D48="","",IF(W48&lt;&gt;"",W48,IF(J48="Walkover",IF(K48=XLOOKUP(D48,Fixtures!$A$5:$A$204,Fixtures!$F$5:$F$204,""),Rules!$C$12,IF(K48=XLOOKUP(D48,Fixtures!$A$5:$A$204,Fixtures!$D$5:$D$204,""),Rules!$C$13,"")),I48)))</x:f>
      </x:c>
      <x:c r="Z48" s="38" t="str">
        <x:f>IF(D48="","",IF(AND(R48="Approved Current",OR(J48="Played",J48="Walkover")),"Yes","No"))</x:f>
      </x:c>
      <x:c r="AA48" s="38" t="str">
        <x:f>IF(D48="","",IF(AND(R48="Approved Current",COUNTIFS($D$5:$D$204,D48,$R$5:$R$204,"Approved Current")&gt;1),"Multiple Approved Current",IF(AND(J48="Walkover",K48=""),"Walkover missing winner","OK")))</x:f>
      </x:c>
    </x:row>
    <x:row r="49" ht="15" hidden="0" customHeight="1">
      <x:c r="A49" s="67"/>
      <x:c r="B49" s="38"/>
      <x:c r="C49" s="38"/>
      <x:c r="D49" s="38"/>
      <x:c r="E49" s="38" t="str">
        <x:f>IFERROR(XLOOKUP(D49,Fixtures!$A$5:$A$204,Fixtures!$M$5:$M$204,""),"")</x:f>
      </x:c>
      <x:c r="F49" s="38" t="str">
        <x:f>IFERROR(XLOOKUP(D49,Fixtures!$A$5:$A$204,Fixtures!$E$5:$E$204,""),"")</x:f>
      </x:c>
      <x:c r="G49" s="38" t="str">
        <x:f>IFERROR(XLOOKUP(D49,Fixtures!$A$5:$A$204,Fixtures!$G$5:$G$204,""),"")</x:f>
      </x:c>
      <x:c r="H49" s="38"/>
      <x:c r="I49" s="38"/>
      <x:c r="J49" s="38"/>
      <x:c r="K49" s="38"/>
      <x:c r="L49" s="60"/>
      <x:c r="M49" s="38"/>
      <x:c r="N49" s="38"/>
      <x:c r="O49" s="38"/>
      <x:c r="P49" s="38"/>
      <x:c r="Q49" s="38"/>
      <x:c r="R49" s="38"/>
      <x:c r="S49" s="38" t="str">
        <x:f>IF(R49="Approved Current","Yes","No")</x:f>
        <x:v>No</x:v>
      </x:c>
      <x:c r="T49" s="38"/>
      <x:c r="U49" s="38"/>
      <x:c r="V49" s="38"/>
      <x:c r="W49" s="38"/>
      <x:c r="X49" s="38" t="str">
        <x:f>IF(D49="","",IF(V49&lt;&gt;"",V49,IF(J49="Walkover",IF(K49=XLOOKUP(D49,Fixtures!$A$5:$A$204,Fixtures!$D$5:$D$204,""),Rules!$C$12,IF(K49=XLOOKUP(D49,Fixtures!$A$5:$A$204,Fixtures!$F$5:$F$204,""),Rules!$C$13,"")),H49)))</x:f>
      </x:c>
      <x:c r="Y49" s="38" t="str">
        <x:f>IF(D49="","",IF(W49&lt;&gt;"",W49,IF(J49="Walkover",IF(K49=XLOOKUP(D49,Fixtures!$A$5:$A$204,Fixtures!$F$5:$F$204,""),Rules!$C$12,IF(K49=XLOOKUP(D49,Fixtures!$A$5:$A$204,Fixtures!$D$5:$D$204,""),Rules!$C$13,"")),I49)))</x:f>
      </x:c>
      <x:c r="Z49" s="38" t="str">
        <x:f>IF(D49="","",IF(AND(R49="Approved Current",OR(J49="Played",J49="Walkover")),"Yes","No"))</x:f>
      </x:c>
      <x:c r="AA49" s="38" t="str">
        <x:f>IF(D49="","",IF(AND(R49="Approved Current",COUNTIFS($D$5:$D$204,D49,$R$5:$R$204,"Approved Current")&gt;1),"Multiple Approved Current",IF(AND(J49="Walkover",K49=""),"Walkover missing winner","OK")))</x:f>
      </x:c>
    </x:row>
    <x:row r="50" ht="15" hidden="0" customHeight="1">
      <x:c r="A50" s="67"/>
      <x:c r="B50" s="38"/>
      <x:c r="C50" s="38"/>
      <x:c r="D50" s="38"/>
      <x:c r="E50" s="38" t="str">
        <x:f>IFERROR(XLOOKUP(D50,Fixtures!$A$5:$A$204,Fixtures!$M$5:$M$204,""),"")</x:f>
      </x:c>
      <x:c r="F50" s="38" t="str">
        <x:f>IFERROR(XLOOKUP(D50,Fixtures!$A$5:$A$204,Fixtures!$E$5:$E$204,""),"")</x:f>
      </x:c>
      <x:c r="G50" s="38" t="str">
        <x:f>IFERROR(XLOOKUP(D50,Fixtures!$A$5:$A$204,Fixtures!$G$5:$G$204,""),"")</x:f>
      </x:c>
      <x:c r="H50" s="38"/>
      <x:c r="I50" s="38"/>
      <x:c r="J50" s="38"/>
      <x:c r="K50" s="38"/>
      <x:c r="L50" s="60"/>
      <x:c r="M50" s="38"/>
      <x:c r="N50" s="38"/>
      <x:c r="O50" s="38"/>
      <x:c r="P50" s="38"/>
      <x:c r="Q50" s="38"/>
      <x:c r="R50" s="38"/>
      <x:c r="S50" s="38" t="str">
        <x:f>IF(R50="Approved Current","Yes","No")</x:f>
        <x:v>No</x:v>
      </x:c>
      <x:c r="T50" s="38"/>
      <x:c r="U50" s="38"/>
      <x:c r="V50" s="38"/>
      <x:c r="W50" s="38"/>
      <x:c r="X50" s="38" t="str">
        <x:f>IF(D50="","",IF(V50&lt;&gt;"",V50,IF(J50="Walkover",IF(K50=XLOOKUP(D50,Fixtures!$A$5:$A$204,Fixtures!$D$5:$D$204,""),Rules!$C$12,IF(K50=XLOOKUP(D50,Fixtures!$A$5:$A$204,Fixtures!$F$5:$F$204,""),Rules!$C$13,"")),H50)))</x:f>
      </x:c>
      <x:c r="Y50" s="38" t="str">
        <x:f>IF(D50="","",IF(W50&lt;&gt;"",W50,IF(J50="Walkover",IF(K50=XLOOKUP(D50,Fixtures!$A$5:$A$204,Fixtures!$F$5:$F$204,""),Rules!$C$12,IF(K50=XLOOKUP(D50,Fixtures!$A$5:$A$204,Fixtures!$D$5:$D$204,""),Rules!$C$13,"")),I50)))</x:f>
      </x:c>
      <x:c r="Z50" s="38" t="str">
        <x:f>IF(D50="","",IF(AND(R50="Approved Current",OR(J50="Played",J50="Walkover")),"Yes","No"))</x:f>
      </x:c>
      <x:c r="AA50" s="38" t="str">
        <x:f>IF(D50="","",IF(AND(R50="Approved Current",COUNTIFS($D$5:$D$204,D50,$R$5:$R$204,"Approved Current")&gt;1),"Multiple Approved Current",IF(AND(J50="Walkover",K50=""),"Walkover missing winner","OK")))</x:f>
      </x:c>
    </x:row>
    <x:row r="51" ht="15" hidden="0" customHeight="1">
      <x:c r="A51" s="67"/>
      <x:c r="B51" s="38"/>
      <x:c r="C51" s="38"/>
      <x:c r="D51" s="38"/>
      <x:c r="E51" s="38" t="str">
        <x:f>IFERROR(XLOOKUP(D51,Fixtures!$A$5:$A$204,Fixtures!$M$5:$M$204,""),"")</x:f>
      </x:c>
      <x:c r="F51" s="38" t="str">
        <x:f>IFERROR(XLOOKUP(D51,Fixtures!$A$5:$A$204,Fixtures!$E$5:$E$204,""),"")</x:f>
      </x:c>
      <x:c r="G51" s="38" t="str">
        <x:f>IFERROR(XLOOKUP(D51,Fixtures!$A$5:$A$204,Fixtures!$G$5:$G$204,""),"")</x:f>
      </x:c>
      <x:c r="H51" s="38"/>
      <x:c r="I51" s="38"/>
      <x:c r="J51" s="38"/>
      <x:c r="K51" s="38"/>
      <x:c r="L51" s="60"/>
      <x:c r="M51" s="38"/>
      <x:c r="N51" s="38"/>
      <x:c r="O51" s="38"/>
      <x:c r="P51" s="38"/>
      <x:c r="Q51" s="38"/>
      <x:c r="R51" s="38"/>
      <x:c r="S51" s="38" t="str">
        <x:f>IF(R51="Approved Current","Yes","No")</x:f>
        <x:v>No</x:v>
      </x:c>
      <x:c r="T51" s="38"/>
      <x:c r="U51" s="38"/>
      <x:c r="V51" s="38"/>
      <x:c r="W51" s="38"/>
      <x:c r="X51" s="38" t="str">
        <x:f>IF(D51="","",IF(V51&lt;&gt;"",V51,IF(J51="Walkover",IF(K51=XLOOKUP(D51,Fixtures!$A$5:$A$204,Fixtures!$D$5:$D$204,""),Rules!$C$12,IF(K51=XLOOKUP(D51,Fixtures!$A$5:$A$204,Fixtures!$F$5:$F$204,""),Rules!$C$13,"")),H51)))</x:f>
      </x:c>
      <x:c r="Y51" s="38" t="str">
        <x:f>IF(D51="","",IF(W51&lt;&gt;"",W51,IF(J51="Walkover",IF(K51=XLOOKUP(D51,Fixtures!$A$5:$A$204,Fixtures!$F$5:$F$204,""),Rules!$C$12,IF(K51=XLOOKUP(D51,Fixtures!$A$5:$A$204,Fixtures!$D$5:$D$204,""),Rules!$C$13,"")),I51)))</x:f>
      </x:c>
      <x:c r="Z51" s="38" t="str">
        <x:f>IF(D51="","",IF(AND(R51="Approved Current",OR(J51="Played",J51="Walkover")),"Yes","No"))</x:f>
      </x:c>
      <x:c r="AA51" s="38" t="str">
        <x:f>IF(D51="","",IF(AND(R51="Approved Current",COUNTIFS($D$5:$D$204,D51,$R$5:$R$204,"Approved Current")&gt;1),"Multiple Approved Current",IF(AND(J51="Walkover",K51=""),"Walkover missing winner","OK")))</x:f>
      </x:c>
    </x:row>
    <x:row r="52" ht="15" hidden="0" customHeight="1">
      <x:c r="A52" s="67"/>
      <x:c r="B52" s="38"/>
      <x:c r="C52" s="38"/>
      <x:c r="D52" s="38"/>
      <x:c r="E52" s="38" t="str">
        <x:f>IFERROR(XLOOKUP(D52,Fixtures!$A$5:$A$204,Fixtures!$M$5:$M$204,""),"")</x:f>
      </x:c>
      <x:c r="F52" s="38" t="str">
        <x:f>IFERROR(XLOOKUP(D52,Fixtures!$A$5:$A$204,Fixtures!$E$5:$E$204,""),"")</x:f>
      </x:c>
      <x:c r="G52" s="38" t="str">
        <x:f>IFERROR(XLOOKUP(D52,Fixtures!$A$5:$A$204,Fixtures!$G$5:$G$204,""),"")</x:f>
      </x:c>
      <x:c r="H52" s="38"/>
      <x:c r="I52" s="38"/>
      <x:c r="J52" s="38"/>
      <x:c r="K52" s="38"/>
      <x:c r="L52" s="60"/>
      <x:c r="M52" s="38"/>
      <x:c r="N52" s="38"/>
      <x:c r="O52" s="38"/>
      <x:c r="P52" s="38"/>
      <x:c r="Q52" s="38"/>
      <x:c r="R52" s="38"/>
      <x:c r="S52" s="38" t="str">
        <x:f>IF(R52="Approved Current","Yes","No")</x:f>
        <x:v>No</x:v>
      </x:c>
      <x:c r="T52" s="38"/>
      <x:c r="U52" s="38"/>
      <x:c r="V52" s="38"/>
      <x:c r="W52" s="38"/>
      <x:c r="X52" s="38" t="str">
        <x:f>IF(D52="","",IF(V52&lt;&gt;"",V52,IF(J52="Walkover",IF(K52=XLOOKUP(D52,Fixtures!$A$5:$A$204,Fixtures!$D$5:$D$204,""),Rules!$C$12,IF(K52=XLOOKUP(D52,Fixtures!$A$5:$A$204,Fixtures!$F$5:$F$204,""),Rules!$C$13,"")),H52)))</x:f>
      </x:c>
      <x:c r="Y52" s="38" t="str">
        <x:f>IF(D52="","",IF(W52&lt;&gt;"",W52,IF(J52="Walkover",IF(K52=XLOOKUP(D52,Fixtures!$A$5:$A$204,Fixtures!$F$5:$F$204,""),Rules!$C$12,IF(K52=XLOOKUP(D52,Fixtures!$A$5:$A$204,Fixtures!$D$5:$D$204,""),Rules!$C$13,"")),I52)))</x:f>
      </x:c>
      <x:c r="Z52" s="38" t="str">
        <x:f>IF(D52="","",IF(AND(R52="Approved Current",OR(J52="Played",J52="Walkover")),"Yes","No"))</x:f>
      </x:c>
      <x:c r="AA52" s="38" t="str">
        <x:f>IF(D52="","",IF(AND(R52="Approved Current",COUNTIFS($D$5:$D$204,D52,$R$5:$R$204,"Approved Current")&gt;1),"Multiple Approved Current",IF(AND(J52="Walkover",K52=""),"Walkover missing winner","OK")))</x:f>
      </x:c>
    </x:row>
    <x:row r="53" ht="15" hidden="0" customHeight="1">
      <x:c r="A53" s="67"/>
      <x:c r="B53" s="38"/>
      <x:c r="C53" s="38"/>
      <x:c r="D53" s="38"/>
      <x:c r="E53" s="38" t="str">
        <x:f>IFERROR(XLOOKUP(D53,Fixtures!$A$5:$A$204,Fixtures!$M$5:$M$204,""),"")</x:f>
      </x:c>
      <x:c r="F53" s="38" t="str">
        <x:f>IFERROR(XLOOKUP(D53,Fixtures!$A$5:$A$204,Fixtures!$E$5:$E$204,""),"")</x:f>
      </x:c>
      <x:c r="G53" s="38" t="str">
        <x:f>IFERROR(XLOOKUP(D53,Fixtures!$A$5:$A$204,Fixtures!$G$5:$G$204,""),"")</x:f>
      </x:c>
      <x:c r="H53" s="38"/>
      <x:c r="I53" s="38"/>
      <x:c r="J53" s="38"/>
      <x:c r="K53" s="38"/>
      <x:c r="L53" s="60"/>
      <x:c r="M53" s="38"/>
      <x:c r="N53" s="38"/>
      <x:c r="O53" s="38"/>
      <x:c r="P53" s="38"/>
      <x:c r="Q53" s="38"/>
      <x:c r="R53" s="38"/>
      <x:c r="S53" s="38" t="str">
        <x:f>IF(R53="Approved Current","Yes","No")</x:f>
        <x:v>No</x:v>
      </x:c>
      <x:c r="T53" s="38"/>
      <x:c r="U53" s="38"/>
      <x:c r="V53" s="38"/>
      <x:c r="W53" s="38"/>
      <x:c r="X53" s="38" t="str">
        <x:f>IF(D53="","",IF(V53&lt;&gt;"",V53,IF(J53="Walkover",IF(K53=XLOOKUP(D53,Fixtures!$A$5:$A$204,Fixtures!$D$5:$D$204,""),Rules!$C$12,IF(K53=XLOOKUP(D53,Fixtures!$A$5:$A$204,Fixtures!$F$5:$F$204,""),Rules!$C$13,"")),H53)))</x:f>
      </x:c>
      <x:c r="Y53" s="38" t="str">
        <x:f>IF(D53="","",IF(W53&lt;&gt;"",W53,IF(J53="Walkover",IF(K53=XLOOKUP(D53,Fixtures!$A$5:$A$204,Fixtures!$F$5:$F$204,""),Rules!$C$12,IF(K53=XLOOKUP(D53,Fixtures!$A$5:$A$204,Fixtures!$D$5:$D$204,""),Rules!$C$13,"")),I53)))</x:f>
      </x:c>
      <x:c r="Z53" s="38" t="str">
        <x:f>IF(D53="","",IF(AND(R53="Approved Current",OR(J53="Played",J53="Walkover")),"Yes","No"))</x:f>
      </x:c>
      <x:c r="AA53" s="38" t="str">
        <x:f>IF(D53="","",IF(AND(R53="Approved Current",COUNTIFS($D$5:$D$204,D53,$R$5:$R$204,"Approved Current")&gt;1),"Multiple Approved Current",IF(AND(J53="Walkover",K53=""),"Walkover missing winner","OK")))</x:f>
      </x:c>
    </x:row>
    <x:row r="54" ht="15" hidden="0" customHeight="1">
      <x:c r="A54" s="67"/>
      <x:c r="B54" s="38"/>
      <x:c r="C54" s="38"/>
      <x:c r="D54" s="38"/>
      <x:c r="E54" s="38" t="str">
        <x:f>IFERROR(XLOOKUP(D54,Fixtures!$A$5:$A$204,Fixtures!$M$5:$M$204,""),"")</x:f>
      </x:c>
      <x:c r="F54" s="38" t="str">
        <x:f>IFERROR(XLOOKUP(D54,Fixtures!$A$5:$A$204,Fixtures!$E$5:$E$204,""),"")</x:f>
      </x:c>
      <x:c r="G54" s="38" t="str">
        <x:f>IFERROR(XLOOKUP(D54,Fixtures!$A$5:$A$204,Fixtures!$G$5:$G$204,""),"")</x:f>
      </x:c>
      <x:c r="H54" s="38"/>
      <x:c r="I54" s="38"/>
      <x:c r="J54" s="38"/>
      <x:c r="K54" s="38"/>
      <x:c r="L54" s="60"/>
      <x:c r="M54" s="38"/>
      <x:c r="N54" s="38"/>
      <x:c r="O54" s="38"/>
      <x:c r="P54" s="38"/>
      <x:c r="Q54" s="38"/>
      <x:c r="R54" s="38"/>
      <x:c r="S54" s="38" t="str">
        <x:f>IF(R54="Approved Current","Yes","No")</x:f>
        <x:v>No</x:v>
      </x:c>
      <x:c r="T54" s="38"/>
      <x:c r="U54" s="38"/>
      <x:c r="V54" s="38"/>
      <x:c r="W54" s="38"/>
      <x:c r="X54" s="38" t="str">
        <x:f>IF(D54="","",IF(V54&lt;&gt;"",V54,IF(J54="Walkover",IF(K54=XLOOKUP(D54,Fixtures!$A$5:$A$204,Fixtures!$D$5:$D$204,""),Rules!$C$12,IF(K54=XLOOKUP(D54,Fixtures!$A$5:$A$204,Fixtures!$F$5:$F$204,""),Rules!$C$13,"")),H54)))</x:f>
      </x:c>
      <x:c r="Y54" s="38" t="str">
        <x:f>IF(D54="","",IF(W54&lt;&gt;"",W54,IF(J54="Walkover",IF(K54=XLOOKUP(D54,Fixtures!$A$5:$A$204,Fixtures!$F$5:$F$204,""),Rules!$C$12,IF(K54=XLOOKUP(D54,Fixtures!$A$5:$A$204,Fixtures!$D$5:$D$204,""),Rules!$C$13,"")),I54)))</x:f>
      </x:c>
      <x:c r="Z54" s="38" t="str">
        <x:f>IF(D54="","",IF(AND(R54="Approved Current",OR(J54="Played",J54="Walkover")),"Yes","No"))</x:f>
      </x:c>
      <x:c r="AA54" s="38" t="str">
        <x:f>IF(D54="","",IF(AND(R54="Approved Current",COUNTIFS($D$5:$D$204,D54,$R$5:$R$204,"Approved Current")&gt;1),"Multiple Approved Current",IF(AND(J54="Walkover",K54=""),"Walkover missing winner","OK")))</x:f>
      </x:c>
    </x:row>
    <x:row r="55" ht="15" hidden="0" customHeight="1">
      <x:c r="A55" s="67"/>
      <x:c r="B55" s="38"/>
      <x:c r="C55" s="38"/>
      <x:c r="D55" s="38"/>
      <x:c r="E55" s="38" t="str">
        <x:f>IFERROR(XLOOKUP(D55,Fixtures!$A$5:$A$204,Fixtures!$M$5:$M$204,""),"")</x:f>
      </x:c>
      <x:c r="F55" s="38" t="str">
        <x:f>IFERROR(XLOOKUP(D55,Fixtures!$A$5:$A$204,Fixtures!$E$5:$E$204,""),"")</x:f>
      </x:c>
      <x:c r="G55" s="38" t="str">
        <x:f>IFERROR(XLOOKUP(D55,Fixtures!$A$5:$A$204,Fixtures!$G$5:$G$204,""),"")</x:f>
      </x:c>
      <x:c r="H55" s="38"/>
      <x:c r="I55" s="38"/>
      <x:c r="J55" s="38"/>
      <x:c r="K55" s="38"/>
      <x:c r="L55" s="60"/>
      <x:c r="M55" s="38"/>
      <x:c r="N55" s="38"/>
      <x:c r="O55" s="38"/>
      <x:c r="P55" s="38"/>
      <x:c r="Q55" s="38"/>
      <x:c r="R55" s="38"/>
      <x:c r="S55" s="38" t="str">
        <x:f>IF(R55="Approved Current","Yes","No")</x:f>
        <x:v>No</x:v>
      </x:c>
      <x:c r="T55" s="38"/>
      <x:c r="U55" s="38"/>
      <x:c r="V55" s="38"/>
      <x:c r="W55" s="38"/>
      <x:c r="X55" s="38" t="str">
        <x:f>IF(D55="","",IF(V55&lt;&gt;"",V55,IF(J55="Walkover",IF(K55=XLOOKUP(D55,Fixtures!$A$5:$A$204,Fixtures!$D$5:$D$204,""),Rules!$C$12,IF(K55=XLOOKUP(D55,Fixtures!$A$5:$A$204,Fixtures!$F$5:$F$204,""),Rules!$C$13,"")),H55)))</x:f>
      </x:c>
      <x:c r="Y55" s="38" t="str">
        <x:f>IF(D55="","",IF(W55&lt;&gt;"",W55,IF(J55="Walkover",IF(K55=XLOOKUP(D55,Fixtures!$A$5:$A$204,Fixtures!$F$5:$F$204,""),Rules!$C$12,IF(K55=XLOOKUP(D55,Fixtures!$A$5:$A$204,Fixtures!$D$5:$D$204,""),Rules!$C$13,"")),I55)))</x:f>
      </x:c>
      <x:c r="Z55" s="38" t="str">
        <x:f>IF(D55="","",IF(AND(R55="Approved Current",OR(J55="Played",J55="Walkover")),"Yes","No"))</x:f>
      </x:c>
      <x:c r="AA55" s="38" t="str">
        <x:f>IF(D55="","",IF(AND(R55="Approved Current",COUNTIFS($D$5:$D$204,D55,$R$5:$R$204,"Approved Current")&gt;1),"Multiple Approved Current",IF(AND(J55="Walkover",K55=""),"Walkover missing winner","OK")))</x:f>
      </x:c>
    </x:row>
    <x:row r="56" ht="15" hidden="0" customHeight="1">
      <x:c r="A56" s="67"/>
      <x:c r="B56" s="38"/>
      <x:c r="C56" s="38"/>
      <x:c r="D56" s="38"/>
      <x:c r="E56" s="38" t="str">
        <x:f>IFERROR(XLOOKUP(D56,Fixtures!$A$5:$A$204,Fixtures!$M$5:$M$204,""),"")</x:f>
      </x:c>
      <x:c r="F56" s="38" t="str">
        <x:f>IFERROR(XLOOKUP(D56,Fixtures!$A$5:$A$204,Fixtures!$E$5:$E$204,""),"")</x:f>
      </x:c>
      <x:c r="G56" s="38" t="str">
        <x:f>IFERROR(XLOOKUP(D56,Fixtures!$A$5:$A$204,Fixtures!$G$5:$G$204,""),"")</x:f>
      </x:c>
      <x:c r="H56" s="38"/>
      <x:c r="I56" s="38"/>
      <x:c r="J56" s="38"/>
      <x:c r="K56" s="38"/>
      <x:c r="L56" s="60"/>
      <x:c r="M56" s="38"/>
      <x:c r="N56" s="38"/>
      <x:c r="O56" s="38"/>
      <x:c r="P56" s="38"/>
      <x:c r="Q56" s="38"/>
      <x:c r="R56" s="38"/>
      <x:c r="S56" s="38" t="str">
        <x:f>IF(R56="Approved Current","Yes","No")</x:f>
        <x:v>No</x:v>
      </x:c>
      <x:c r="T56" s="38"/>
      <x:c r="U56" s="38"/>
      <x:c r="V56" s="38"/>
      <x:c r="W56" s="38"/>
      <x:c r="X56" s="38" t="str">
        <x:f>IF(D56="","",IF(V56&lt;&gt;"",V56,IF(J56="Walkover",IF(K56=XLOOKUP(D56,Fixtures!$A$5:$A$204,Fixtures!$D$5:$D$204,""),Rules!$C$12,IF(K56=XLOOKUP(D56,Fixtures!$A$5:$A$204,Fixtures!$F$5:$F$204,""),Rules!$C$13,"")),H56)))</x:f>
      </x:c>
      <x:c r="Y56" s="38" t="str">
        <x:f>IF(D56="","",IF(W56&lt;&gt;"",W56,IF(J56="Walkover",IF(K56=XLOOKUP(D56,Fixtures!$A$5:$A$204,Fixtures!$F$5:$F$204,""),Rules!$C$12,IF(K56=XLOOKUP(D56,Fixtures!$A$5:$A$204,Fixtures!$D$5:$D$204,""),Rules!$C$13,"")),I56)))</x:f>
      </x:c>
      <x:c r="Z56" s="38" t="str">
        <x:f>IF(D56="","",IF(AND(R56="Approved Current",OR(J56="Played",J56="Walkover")),"Yes","No"))</x:f>
      </x:c>
      <x:c r="AA56" s="38" t="str">
        <x:f>IF(D56="","",IF(AND(R56="Approved Current",COUNTIFS($D$5:$D$204,D56,$R$5:$R$204,"Approved Current")&gt;1),"Multiple Approved Current",IF(AND(J56="Walkover",K56=""),"Walkover missing winner","OK")))</x:f>
      </x:c>
    </x:row>
    <x:row r="57" ht="15" hidden="0" customHeight="1">
      <x:c r="A57" s="67"/>
      <x:c r="B57" s="38"/>
      <x:c r="C57" s="38"/>
      <x:c r="D57" s="38"/>
      <x:c r="E57" s="38" t="str">
        <x:f>IFERROR(XLOOKUP(D57,Fixtures!$A$5:$A$204,Fixtures!$M$5:$M$204,""),"")</x:f>
      </x:c>
      <x:c r="F57" s="38" t="str">
        <x:f>IFERROR(XLOOKUP(D57,Fixtures!$A$5:$A$204,Fixtures!$E$5:$E$204,""),"")</x:f>
      </x:c>
      <x:c r="G57" s="38" t="str">
        <x:f>IFERROR(XLOOKUP(D57,Fixtures!$A$5:$A$204,Fixtures!$G$5:$G$204,""),"")</x:f>
      </x:c>
      <x:c r="H57" s="38"/>
      <x:c r="I57" s="38"/>
      <x:c r="J57" s="38"/>
      <x:c r="K57" s="38"/>
      <x:c r="L57" s="60"/>
      <x:c r="M57" s="38"/>
      <x:c r="N57" s="38"/>
      <x:c r="O57" s="38"/>
      <x:c r="P57" s="38"/>
      <x:c r="Q57" s="38"/>
      <x:c r="R57" s="38"/>
      <x:c r="S57" s="38" t="str">
        <x:f>IF(R57="Approved Current","Yes","No")</x:f>
        <x:v>No</x:v>
      </x:c>
      <x:c r="T57" s="38"/>
      <x:c r="U57" s="38"/>
      <x:c r="V57" s="38"/>
      <x:c r="W57" s="38"/>
      <x:c r="X57" s="38" t="str">
        <x:f>IF(D57="","",IF(V57&lt;&gt;"",V57,IF(J57="Walkover",IF(K57=XLOOKUP(D57,Fixtures!$A$5:$A$204,Fixtures!$D$5:$D$204,""),Rules!$C$12,IF(K57=XLOOKUP(D57,Fixtures!$A$5:$A$204,Fixtures!$F$5:$F$204,""),Rules!$C$13,"")),H57)))</x:f>
      </x:c>
      <x:c r="Y57" s="38" t="str">
        <x:f>IF(D57="","",IF(W57&lt;&gt;"",W57,IF(J57="Walkover",IF(K57=XLOOKUP(D57,Fixtures!$A$5:$A$204,Fixtures!$F$5:$F$204,""),Rules!$C$12,IF(K57=XLOOKUP(D57,Fixtures!$A$5:$A$204,Fixtures!$D$5:$D$204,""),Rules!$C$13,"")),I57)))</x:f>
      </x:c>
      <x:c r="Z57" s="38" t="str">
        <x:f>IF(D57="","",IF(AND(R57="Approved Current",OR(J57="Played",J57="Walkover")),"Yes","No"))</x:f>
      </x:c>
      <x:c r="AA57" s="38" t="str">
        <x:f>IF(D57="","",IF(AND(R57="Approved Current",COUNTIFS($D$5:$D$204,D57,$R$5:$R$204,"Approved Current")&gt;1),"Multiple Approved Current",IF(AND(J57="Walkover",K57=""),"Walkover missing winner","OK")))</x:f>
      </x:c>
    </x:row>
    <x:row r="58" ht="15" hidden="0" customHeight="1">
      <x:c r="A58" s="67"/>
      <x:c r="B58" s="38"/>
      <x:c r="C58" s="38"/>
      <x:c r="D58" s="38"/>
      <x:c r="E58" s="38" t="str">
        <x:f>IFERROR(XLOOKUP(D58,Fixtures!$A$5:$A$204,Fixtures!$M$5:$M$204,""),"")</x:f>
      </x:c>
      <x:c r="F58" s="38" t="str">
        <x:f>IFERROR(XLOOKUP(D58,Fixtures!$A$5:$A$204,Fixtures!$E$5:$E$204,""),"")</x:f>
      </x:c>
      <x:c r="G58" s="38" t="str">
        <x:f>IFERROR(XLOOKUP(D58,Fixtures!$A$5:$A$204,Fixtures!$G$5:$G$204,""),"")</x:f>
      </x:c>
      <x:c r="H58" s="38"/>
      <x:c r="I58" s="38"/>
      <x:c r="J58" s="38"/>
      <x:c r="K58" s="38"/>
      <x:c r="L58" s="60"/>
      <x:c r="M58" s="38"/>
      <x:c r="N58" s="38"/>
      <x:c r="O58" s="38"/>
      <x:c r="P58" s="38"/>
      <x:c r="Q58" s="38"/>
      <x:c r="R58" s="38"/>
      <x:c r="S58" s="38" t="str">
        <x:f>IF(R58="Approved Current","Yes","No")</x:f>
        <x:v>No</x:v>
      </x:c>
      <x:c r="T58" s="38"/>
      <x:c r="U58" s="38"/>
      <x:c r="V58" s="38"/>
      <x:c r="W58" s="38"/>
      <x:c r="X58" s="38" t="str">
        <x:f>IF(D58="","",IF(V58&lt;&gt;"",V58,IF(J58="Walkover",IF(K58=XLOOKUP(D58,Fixtures!$A$5:$A$204,Fixtures!$D$5:$D$204,""),Rules!$C$12,IF(K58=XLOOKUP(D58,Fixtures!$A$5:$A$204,Fixtures!$F$5:$F$204,""),Rules!$C$13,"")),H58)))</x:f>
      </x:c>
      <x:c r="Y58" s="38" t="str">
        <x:f>IF(D58="","",IF(W58&lt;&gt;"",W58,IF(J58="Walkover",IF(K58=XLOOKUP(D58,Fixtures!$A$5:$A$204,Fixtures!$F$5:$F$204,""),Rules!$C$12,IF(K58=XLOOKUP(D58,Fixtures!$A$5:$A$204,Fixtures!$D$5:$D$204,""),Rules!$C$13,"")),I58)))</x:f>
      </x:c>
      <x:c r="Z58" s="38" t="str">
        <x:f>IF(D58="","",IF(AND(R58="Approved Current",OR(J58="Played",J58="Walkover")),"Yes","No"))</x:f>
      </x:c>
      <x:c r="AA58" s="38" t="str">
        <x:f>IF(D58="","",IF(AND(R58="Approved Current",COUNTIFS($D$5:$D$204,D58,$R$5:$R$204,"Approved Current")&gt;1),"Multiple Approved Current",IF(AND(J58="Walkover",K58=""),"Walkover missing winner","OK")))</x:f>
      </x:c>
    </x:row>
    <x:row r="59" ht="15" hidden="0" customHeight="1">
      <x:c r="A59" s="67"/>
      <x:c r="B59" s="38"/>
      <x:c r="C59" s="38"/>
      <x:c r="D59" s="38"/>
      <x:c r="E59" s="38" t="str">
        <x:f>IFERROR(XLOOKUP(D59,Fixtures!$A$5:$A$204,Fixtures!$M$5:$M$204,""),"")</x:f>
      </x:c>
      <x:c r="F59" s="38" t="str">
        <x:f>IFERROR(XLOOKUP(D59,Fixtures!$A$5:$A$204,Fixtures!$E$5:$E$204,""),"")</x:f>
      </x:c>
      <x:c r="G59" s="38" t="str">
        <x:f>IFERROR(XLOOKUP(D59,Fixtures!$A$5:$A$204,Fixtures!$G$5:$G$204,""),"")</x:f>
      </x:c>
      <x:c r="H59" s="38"/>
      <x:c r="I59" s="38"/>
      <x:c r="J59" s="38"/>
      <x:c r="K59" s="38"/>
      <x:c r="L59" s="60"/>
      <x:c r="M59" s="38"/>
      <x:c r="N59" s="38"/>
      <x:c r="O59" s="38"/>
      <x:c r="P59" s="38"/>
      <x:c r="Q59" s="38"/>
      <x:c r="R59" s="38"/>
      <x:c r="S59" s="38" t="str">
        <x:f>IF(R59="Approved Current","Yes","No")</x:f>
        <x:v>No</x:v>
      </x:c>
      <x:c r="T59" s="38"/>
      <x:c r="U59" s="38"/>
      <x:c r="V59" s="38"/>
      <x:c r="W59" s="38"/>
      <x:c r="X59" s="38" t="str">
        <x:f>IF(D59="","",IF(V59&lt;&gt;"",V59,IF(J59="Walkover",IF(K59=XLOOKUP(D59,Fixtures!$A$5:$A$204,Fixtures!$D$5:$D$204,""),Rules!$C$12,IF(K59=XLOOKUP(D59,Fixtures!$A$5:$A$204,Fixtures!$F$5:$F$204,""),Rules!$C$13,"")),H59)))</x:f>
      </x:c>
      <x:c r="Y59" s="38" t="str">
        <x:f>IF(D59="","",IF(W59&lt;&gt;"",W59,IF(J59="Walkover",IF(K59=XLOOKUP(D59,Fixtures!$A$5:$A$204,Fixtures!$F$5:$F$204,""),Rules!$C$12,IF(K59=XLOOKUP(D59,Fixtures!$A$5:$A$204,Fixtures!$D$5:$D$204,""),Rules!$C$13,"")),I59)))</x:f>
      </x:c>
      <x:c r="Z59" s="38" t="str">
        <x:f>IF(D59="","",IF(AND(R59="Approved Current",OR(J59="Played",J59="Walkover")),"Yes","No"))</x:f>
      </x:c>
      <x:c r="AA59" s="38" t="str">
        <x:f>IF(D59="","",IF(AND(R59="Approved Current",COUNTIFS($D$5:$D$204,D59,$R$5:$R$204,"Approved Current")&gt;1),"Multiple Approved Current",IF(AND(J59="Walkover",K59=""),"Walkover missing winner","OK")))</x:f>
      </x:c>
    </x:row>
    <x:row r="60" ht="15" hidden="0" customHeight="1">
      <x:c r="A60" s="67"/>
      <x:c r="B60" s="38"/>
      <x:c r="C60" s="38"/>
      <x:c r="D60" s="38"/>
      <x:c r="E60" s="38" t="str">
        <x:f>IFERROR(XLOOKUP(D60,Fixtures!$A$5:$A$204,Fixtures!$M$5:$M$204,""),"")</x:f>
      </x:c>
      <x:c r="F60" s="38" t="str">
        <x:f>IFERROR(XLOOKUP(D60,Fixtures!$A$5:$A$204,Fixtures!$E$5:$E$204,""),"")</x:f>
      </x:c>
      <x:c r="G60" s="38" t="str">
        <x:f>IFERROR(XLOOKUP(D60,Fixtures!$A$5:$A$204,Fixtures!$G$5:$G$204,""),"")</x:f>
      </x:c>
      <x:c r="H60" s="38"/>
      <x:c r="I60" s="38"/>
      <x:c r="J60" s="38"/>
      <x:c r="K60" s="38"/>
      <x:c r="L60" s="60"/>
      <x:c r="M60" s="38"/>
      <x:c r="N60" s="38"/>
      <x:c r="O60" s="38"/>
      <x:c r="P60" s="38"/>
      <x:c r="Q60" s="38"/>
      <x:c r="R60" s="38"/>
      <x:c r="S60" s="38" t="str">
        <x:f>IF(R60="Approved Current","Yes","No")</x:f>
        <x:v>No</x:v>
      </x:c>
      <x:c r="T60" s="38"/>
      <x:c r="U60" s="38"/>
      <x:c r="V60" s="38"/>
      <x:c r="W60" s="38"/>
      <x:c r="X60" s="38" t="str">
        <x:f>IF(D60="","",IF(V60&lt;&gt;"",V60,IF(J60="Walkover",IF(K60=XLOOKUP(D60,Fixtures!$A$5:$A$204,Fixtures!$D$5:$D$204,""),Rules!$C$12,IF(K60=XLOOKUP(D60,Fixtures!$A$5:$A$204,Fixtures!$F$5:$F$204,""),Rules!$C$13,"")),H60)))</x:f>
      </x:c>
      <x:c r="Y60" s="38" t="str">
        <x:f>IF(D60="","",IF(W60&lt;&gt;"",W60,IF(J60="Walkover",IF(K60=XLOOKUP(D60,Fixtures!$A$5:$A$204,Fixtures!$F$5:$F$204,""),Rules!$C$12,IF(K60=XLOOKUP(D60,Fixtures!$A$5:$A$204,Fixtures!$D$5:$D$204,""),Rules!$C$13,"")),I60)))</x:f>
      </x:c>
      <x:c r="Z60" s="38" t="str">
        <x:f>IF(D60="","",IF(AND(R60="Approved Current",OR(J60="Played",J60="Walkover")),"Yes","No"))</x:f>
      </x:c>
      <x:c r="AA60" s="38" t="str">
        <x:f>IF(D60="","",IF(AND(R60="Approved Current",COUNTIFS($D$5:$D$204,D60,$R$5:$R$204,"Approved Current")&gt;1),"Multiple Approved Current",IF(AND(J60="Walkover",K60=""),"Walkover missing winner","OK")))</x:f>
      </x:c>
    </x:row>
    <x:row r="61" ht="15" hidden="0" customHeight="1">
      <x:c r="A61" s="67"/>
      <x:c r="B61" s="38"/>
      <x:c r="C61" s="38"/>
      <x:c r="D61" s="38"/>
      <x:c r="E61" s="38" t="str">
        <x:f>IFERROR(XLOOKUP(D61,Fixtures!$A$5:$A$204,Fixtures!$M$5:$M$204,""),"")</x:f>
      </x:c>
      <x:c r="F61" s="38" t="str">
        <x:f>IFERROR(XLOOKUP(D61,Fixtures!$A$5:$A$204,Fixtures!$E$5:$E$204,""),"")</x:f>
      </x:c>
      <x:c r="G61" s="38" t="str">
        <x:f>IFERROR(XLOOKUP(D61,Fixtures!$A$5:$A$204,Fixtures!$G$5:$G$204,""),"")</x:f>
      </x:c>
      <x:c r="H61" s="38"/>
      <x:c r="I61" s="38"/>
      <x:c r="J61" s="38"/>
      <x:c r="K61" s="38"/>
      <x:c r="L61" s="60"/>
      <x:c r="M61" s="38"/>
      <x:c r="N61" s="38"/>
      <x:c r="O61" s="38"/>
      <x:c r="P61" s="38"/>
      <x:c r="Q61" s="38"/>
      <x:c r="R61" s="38"/>
      <x:c r="S61" s="38" t="str">
        <x:f>IF(R61="Approved Current","Yes","No")</x:f>
        <x:v>No</x:v>
      </x:c>
      <x:c r="T61" s="38"/>
      <x:c r="U61" s="38"/>
      <x:c r="V61" s="38"/>
      <x:c r="W61" s="38"/>
      <x:c r="X61" s="38" t="str">
        <x:f>IF(D61="","",IF(V61&lt;&gt;"",V61,IF(J61="Walkover",IF(K61=XLOOKUP(D61,Fixtures!$A$5:$A$204,Fixtures!$D$5:$D$204,""),Rules!$C$12,IF(K61=XLOOKUP(D61,Fixtures!$A$5:$A$204,Fixtures!$F$5:$F$204,""),Rules!$C$13,"")),H61)))</x:f>
      </x:c>
      <x:c r="Y61" s="38" t="str">
        <x:f>IF(D61="","",IF(W61&lt;&gt;"",W61,IF(J61="Walkover",IF(K61=XLOOKUP(D61,Fixtures!$A$5:$A$204,Fixtures!$F$5:$F$204,""),Rules!$C$12,IF(K61=XLOOKUP(D61,Fixtures!$A$5:$A$204,Fixtures!$D$5:$D$204,""),Rules!$C$13,"")),I61)))</x:f>
      </x:c>
      <x:c r="Z61" s="38" t="str">
        <x:f>IF(D61="","",IF(AND(R61="Approved Current",OR(J61="Played",J61="Walkover")),"Yes","No"))</x:f>
      </x:c>
      <x:c r="AA61" s="38" t="str">
        <x:f>IF(D61="","",IF(AND(R61="Approved Current",COUNTIFS($D$5:$D$204,D61,$R$5:$R$204,"Approved Current")&gt;1),"Multiple Approved Current",IF(AND(J61="Walkover",K61=""),"Walkover missing winner","OK")))</x:f>
      </x:c>
    </x:row>
    <x:row r="62" ht="15" hidden="0" customHeight="1">
      <x:c r="A62" s="67"/>
      <x:c r="B62" s="38"/>
      <x:c r="C62" s="38"/>
      <x:c r="D62" s="38"/>
      <x:c r="E62" s="38" t="str">
        <x:f>IFERROR(XLOOKUP(D62,Fixtures!$A$5:$A$204,Fixtures!$M$5:$M$204,""),"")</x:f>
      </x:c>
      <x:c r="F62" s="38" t="str">
        <x:f>IFERROR(XLOOKUP(D62,Fixtures!$A$5:$A$204,Fixtures!$E$5:$E$204,""),"")</x:f>
      </x:c>
      <x:c r="G62" s="38" t="str">
        <x:f>IFERROR(XLOOKUP(D62,Fixtures!$A$5:$A$204,Fixtures!$G$5:$G$204,""),"")</x:f>
      </x:c>
      <x:c r="H62" s="38"/>
      <x:c r="I62" s="38"/>
      <x:c r="J62" s="38"/>
      <x:c r="K62" s="38"/>
      <x:c r="L62" s="60"/>
      <x:c r="M62" s="38"/>
      <x:c r="N62" s="38"/>
      <x:c r="O62" s="38"/>
      <x:c r="P62" s="38"/>
      <x:c r="Q62" s="38"/>
      <x:c r="R62" s="38"/>
      <x:c r="S62" s="38" t="str">
        <x:f>IF(R62="Approved Current","Yes","No")</x:f>
        <x:v>No</x:v>
      </x:c>
      <x:c r="T62" s="38"/>
      <x:c r="U62" s="38"/>
      <x:c r="V62" s="38"/>
      <x:c r="W62" s="38"/>
      <x:c r="X62" s="38" t="str">
        <x:f>IF(D62="","",IF(V62&lt;&gt;"",V62,IF(J62="Walkover",IF(K62=XLOOKUP(D62,Fixtures!$A$5:$A$204,Fixtures!$D$5:$D$204,""),Rules!$C$12,IF(K62=XLOOKUP(D62,Fixtures!$A$5:$A$204,Fixtures!$F$5:$F$204,""),Rules!$C$13,"")),H62)))</x:f>
      </x:c>
      <x:c r="Y62" s="38" t="str">
        <x:f>IF(D62="","",IF(W62&lt;&gt;"",W62,IF(J62="Walkover",IF(K62=XLOOKUP(D62,Fixtures!$A$5:$A$204,Fixtures!$F$5:$F$204,""),Rules!$C$12,IF(K62=XLOOKUP(D62,Fixtures!$A$5:$A$204,Fixtures!$D$5:$D$204,""),Rules!$C$13,"")),I62)))</x:f>
      </x:c>
      <x:c r="Z62" s="38" t="str">
        <x:f>IF(D62="","",IF(AND(R62="Approved Current",OR(J62="Played",J62="Walkover")),"Yes","No"))</x:f>
      </x:c>
      <x:c r="AA62" s="38" t="str">
        <x:f>IF(D62="","",IF(AND(R62="Approved Current",COUNTIFS($D$5:$D$204,D62,$R$5:$R$204,"Approved Current")&gt;1),"Multiple Approved Current",IF(AND(J62="Walkover",K62=""),"Walkover missing winner","OK")))</x:f>
      </x:c>
    </x:row>
    <x:row r="63" ht="15" hidden="0" customHeight="1">
      <x:c r="A63" s="67"/>
      <x:c r="B63" s="38"/>
      <x:c r="C63" s="38"/>
      <x:c r="D63" s="38"/>
      <x:c r="E63" s="38" t="str">
        <x:f>IFERROR(XLOOKUP(D63,Fixtures!$A$5:$A$204,Fixtures!$M$5:$M$204,""),"")</x:f>
      </x:c>
      <x:c r="F63" s="38" t="str">
        <x:f>IFERROR(XLOOKUP(D63,Fixtures!$A$5:$A$204,Fixtures!$E$5:$E$204,""),"")</x:f>
      </x:c>
      <x:c r="G63" s="38" t="str">
        <x:f>IFERROR(XLOOKUP(D63,Fixtures!$A$5:$A$204,Fixtures!$G$5:$G$204,""),"")</x:f>
      </x:c>
      <x:c r="H63" s="38"/>
      <x:c r="I63" s="38"/>
      <x:c r="J63" s="38"/>
      <x:c r="K63" s="38"/>
      <x:c r="L63" s="60"/>
      <x:c r="M63" s="38"/>
      <x:c r="N63" s="38"/>
      <x:c r="O63" s="38"/>
      <x:c r="P63" s="38"/>
      <x:c r="Q63" s="38"/>
      <x:c r="R63" s="38"/>
      <x:c r="S63" s="38" t="str">
        <x:f>IF(R63="Approved Current","Yes","No")</x:f>
        <x:v>No</x:v>
      </x:c>
      <x:c r="T63" s="38"/>
      <x:c r="U63" s="38"/>
      <x:c r="V63" s="38"/>
      <x:c r="W63" s="38"/>
      <x:c r="X63" s="38" t="str">
        <x:f>IF(D63="","",IF(V63&lt;&gt;"",V63,IF(J63="Walkover",IF(K63=XLOOKUP(D63,Fixtures!$A$5:$A$204,Fixtures!$D$5:$D$204,""),Rules!$C$12,IF(K63=XLOOKUP(D63,Fixtures!$A$5:$A$204,Fixtures!$F$5:$F$204,""),Rules!$C$13,"")),H63)))</x:f>
      </x:c>
      <x:c r="Y63" s="38" t="str">
        <x:f>IF(D63="","",IF(W63&lt;&gt;"",W63,IF(J63="Walkover",IF(K63=XLOOKUP(D63,Fixtures!$A$5:$A$204,Fixtures!$F$5:$F$204,""),Rules!$C$12,IF(K63=XLOOKUP(D63,Fixtures!$A$5:$A$204,Fixtures!$D$5:$D$204,""),Rules!$C$13,"")),I63)))</x:f>
      </x:c>
      <x:c r="Z63" s="38" t="str">
        <x:f>IF(D63="","",IF(AND(R63="Approved Current",OR(J63="Played",J63="Walkover")),"Yes","No"))</x:f>
      </x:c>
      <x:c r="AA63" s="38" t="str">
        <x:f>IF(D63="","",IF(AND(R63="Approved Current",COUNTIFS($D$5:$D$204,D63,$R$5:$R$204,"Approved Current")&gt;1),"Multiple Approved Current",IF(AND(J63="Walkover",K63=""),"Walkover missing winner","OK")))</x:f>
      </x:c>
    </x:row>
    <x:row r="64" ht="15" hidden="0" customHeight="1">
      <x:c r="A64" s="67"/>
      <x:c r="B64" s="38"/>
      <x:c r="C64" s="38"/>
      <x:c r="D64" s="38"/>
      <x:c r="E64" s="38" t="str">
        <x:f>IFERROR(XLOOKUP(D64,Fixtures!$A$5:$A$204,Fixtures!$M$5:$M$204,""),"")</x:f>
      </x:c>
      <x:c r="F64" s="38" t="str">
        <x:f>IFERROR(XLOOKUP(D64,Fixtures!$A$5:$A$204,Fixtures!$E$5:$E$204,""),"")</x:f>
      </x:c>
      <x:c r="G64" s="38" t="str">
        <x:f>IFERROR(XLOOKUP(D64,Fixtures!$A$5:$A$204,Fixtures!$G$5:$G$204,""),"")</x:f>
      </x:c>
      <x:c r="H64" s="38"/>
      <x:c r="I64" s="38"/>
      <x:c r="J64" s="38"/>
      <x:c r="K64" s="38"/>
      <x:c r="L64" s="60"/>
      <x:c r="M64" s="38"/>
      <x:c r="N64" s="38"/>
      <x:c r="O64" s="38"/>
      <x:c r="P64" s="38"/>
      <x:c r="Q64" s="38"/>
      <x:c r="R64" s="38"/>
      <x:c r="S64" s="38" t="str">
        <x:f>IF(R64="Approved Current","Yes","No")</x:f>
        <x:v>No</x:v>
      </x:c>
      <x:c r="T64" s="38"/>
      <x:c r="U64" s="38"/>
      <x:c r="V64" s="38"/>
      <x:c r="W64" s="38"/>
      <x:c r="X64" s="38" t="str">
        <x:f>IF(D64="","",IF(V64&lt;&gt;"",V64,IF(J64="Walkover",IF(K64=XLOOKUP(D64,Fixtures!$A$5:$A$204,Fixtures!$D$5:$D$204,""),Rules!$C$12,IF(K64=XLOOKUP(D64,Fixtures!$A$5:$A$204,Fixtures!$F$5:$F$204,""),Rules!$C$13,"")),H64)))</x:f>
      </x:c>
      <x:c r="Y64" s="38" t="str">
        <x:f>IF(D64="","",IF(W64&lt;&gt;"",W64,IF(J64="Walkover",IF(K64=XLOOKUP(D64,Fixtures!$A$5:$A$204,Fixtures!$F$5:$F$204,""),Rules!$C$12,IF(K64=XLOOKUP(D64,Fixtures!$A$5:$A$204,Fixtures!$D$5:$D$204,""),Rules!$C$13,"")),I64)))</x:f>
      </x:c>
      <x:c r="Z64" s="38" t="str">
        <x:f>IF(D64="","",IF(AND(R64="Approved Current",OR(J64="Played",J64="Walkover")),"Yes","No"))</x:f>
      </x:c>
      <x:c r="AA64" s="38" t="str">
        <x:f>IF(D64="","",IF(AND(R64="Approved Current",COUNTIFS($D$5:$D$204,D64,$R$5:$R$204,"Approved Current")&gt;1),"Multiple Approved Current",IF(AND(J64="Walkover",K64=""),"Walkover missing winner","OK")))</x:f>
      </x:c>
    </x:row>
    <x:row r="65" ht="15" hidden="0" customHeight="1">
      <x:c r="A65" s="67"/>
      <x:c r="B65" s="38"/>
      <x:c r="C65" s="38"/>
      <x:c r="D65" s="38"/>
      <x:c r="E65" s="38" t="str">
        <x:f>IFERROR(XLOOKUP(D65,Fixtures!$A$5:$A$204,Fixtures!$M$5:$M$204,""),"")</x:f>
      </x:c>
      <x:c r="F65" s="38" t="str">
        <x:f>IFERROR(XLOOKUP(D65,Fixtures!$A$5:$A$204,Fixtures!$E$5:$E$204,""),"")</x:f>
      </x:c>
      <x:c r="G65" s="38" t="str">
        <x:f>IFERROR(XLOOKUP(D65,Fixtures!$A$5:$A$204,Fixtures!$G$5:$G$204,""),"")</x:f>
      </x:c>
      <x:c r="H65" s="38"/>
      <x:c r="I65" s="38"/>
      <x:c r="J65" s="38"/>
      <x:c r="K65" s="38"/>
      <x:c r="L65" s="60"/>
      <x:c r="M65" s="38"/>
      <x:c r="N65" s="38"/>
      <x:c r="O65" s="38"/>
      <x:c r="P65" s="38"/>
      <x:c r="Q65" s="38"/>
      <x:c r="R65" s="38"/>
      <x:c r="S65" s="38" t="str">
        <x:f>IF(R65="Approved Current","Yes","No")</x:f>
        <x:v>No</x:v>
      </x:c>
      <x:c r="T65" s="38"/>
      <x:c r="U65" s="38"/>
      <x:c r="V65" s="38"/>
      <x:c r="W65" s="38"/>
      <x:c r="X65" s="38" t="str">
        <x:f>IF(D65="","",IF(V65&lt;&gt;"",V65,IF(J65="Walkover",IF(K65=XLOOKUP(D65,Fixtures!$A$5:$A$204,Fixtures!$D$5:$D$204,""),Rules!$C$12,IF(K65=XLOOKUP(D65,Fixtures!$A$5:$A$204,Fixtures!$F$5:$F$204,""),Rules!$C$13,"")),H65)))</x:f>
      </x:c>
      <x:c r="Y65" s="38" t="str">
        <x:f>IF(D65="","",IF(W65&lt;&gt;"",W65,IF(J65="Walkover",IF(K65=XLOOKUP(D65,Fixtures!$A$5:$A$204,Fixtures!$F$5:$F$204,""),Rules!$C$12,IF(K65=XLOOKUP(D65,Fixtures!$A$5:$A$204,Fixtures!$D$5:$D$204,""),Rules!$C$13,"")),I65)))</x:f>
      </x:c>
      <x:c r="Z65" s="38" t="str">
        <x:f>IF(D65="","",IF(AND(R65="Approved Current",OR(J65="Played",J65="Walkover")),"Yes","No"))</x:f>
      </x:c>
      <x:c r="AA65" s="38" t="str">
        <x:f>IF(D65="","",IF(AND(R65="Approved Current",COUNTIFS($D$5:$D$204,D65,$R$5:$R$204,"Approved Current")&gt;1),"Multiple Approved Current",IF(AND(J65="Walkover",K65=""),"Walkover missing winner","OK")))</x:f>
      </x:c>
    </x:row>
    <x:row r="66" ht="15" hidden="0" customHeight="1">
      <x:c r="A66" s="67"/>
      <x:c r="B66" s="38"/>
      <x:c r="C66" s="38"/>
      <x:c r="D66" s="38"/>
      <x:c r="E66" s="38" t="str">
        <x:f>IFERROR(XLOOKUP(D66,Fixtures!$A$5:$A$204,Fixtures!$M$5:$M$204,""),"")</x:f>
      </x:c>
      <x:c r="F66" s="38" t="str">
        <x:f>IFERROR(XLOOKUP(D66,Fixtures!$A$5:$A$204,Fixtures!$E$5:$E$204,""),"")</x:f>
      </x:c>
      <x:c r="G66" s="38" t="str">
        <x:f>IFERROR(XLOOKUP(D66,Fixtures!$A$5:$A$204,Fixtures!$G$5:$G$204,""),"")</x:f>
      </x:c>
      <x:c r="H66" s="38"/>
      <x:c r="I66" s="38"/>
      <x:c r="J66" s="38"/>
      <x:c r="K66" s="38"/>
      <x:c r="L66" s="60"/>
      <x:c r="M66" s="38"/>
      <x:c r="N66" s="38"/>
      <x:c r="O66" s="38"/>
      <x:c r="P66" s="38"/>
      <x:c r="Q66" s="38"/>
      <x:c r="R66" s="38"/>
      <x:c r="S66" s="38" t="str">
        <x:f>IF(R66="Approved Current","Yes","No")</x:f>
        <x:v>No</x:v>
      </x:c>
      <x:c r="T66" s="38"/>
      <x:c r="U66" s="38"/>
      <x:c r="V66" s="38"/>
      <x:c r="W66" s="38"/>
      <x:c r="X66" s="38" t="str">
        <x:f>IF(D66="","",IF(V66&lt;&gt;"",V66,IF(J66="Walkover",IF(K66=XLOOKUP(D66,Fixtures!$A$5:$A$204,Fixtures!$D$5:$D$204,""),Rules!$C$12,IF(K66=XLOOKUP(D66,Fixtures!$A$5:$A$204,Fixtures!$F$5:$F$204,""),Rules!$C$13,"")),H66)))</x:f>
      </x:c>
      <x:c r="Y66" s="38" t="str">
        <x:f>IF(D66="","",IF(W66&lt;&gt;"",W66,IF(J66="Walkover",IF(K66=XLOOKUP(D66,Fixtures!$A$5:$A$204,Fixtures!$F$5:$F$204,""),Rules!$C$12,IF(K66=XLOOKUP(D66,Fixtures!$A$5:$A$204,Fixtures!$D$5:$D$204,""),Rules!$C$13,"")),I66)))</x:f>
      </x:c>
      <x:c r="Z66" s="38" t="str">
        <x:f>IF(D66="","",IF(AND(R66="Approved Current",OR(J66="Played",J66="Walkover")),"Yes","No"))</x:f>
      </x:c>
      <x:c r="AA66" s="38" t="str">
        <x:f>IF(D66="","",IF(AND(R66="Approved Current",COUNTIFS($D$5:$D$204,D66,$R$5:$R$204,"Approved Current")&gt;1),"Multiple Approved Current",IF(AND(J66="Walkover",K66=""),"Walkover missing winner","OK")))</x:f>
      </x:c>
    </x:row>
    <x:row r="67" ht="15" hidden="0" customHeight="1">
      <x:c r="A67" s="67"/>
      <x:c r="B67" s="38"/>
      <x:c r="C67" s="38"/>
      <x:c r="D67" s="38"/>
      <x:c r="E67" s="38" t="str">
        <x:f>IFERROR(XLOOKUP(D67,Fixtures!$A$5:$A$204,Fixtures!$M$5:$M$204,""),"")</x:f>
      </x:c>
      <x:c r="F67" s="38" t="str">
        <x:f>IFERROR(XLOOKUP(D67,Fixtures!$A$5:$A$204,Fixtures!$E$5:$E$204,""),"")</x:f>
      </x:c>
      <x:c r="G67" s="38" t="str">
        <x:f>IFERROR(XLOOKUP(D67,Fixtures!$A$5:$A$204,Fixtures!$G$5:$G$204,""),"")</x:f>
      </x:c>
      <x:c r="H67" s="38"/>
      <x:c r="I67" s="38"/>
      <x:c r="J67" s="38"/>
      <x:c r="K67" s="38"/>
      <x:c r="L67" s="60"/>
      <x:c r="M67" s="38"/>
      <x:c r="N67" s="38"/>
      <x:c r="O67" s="38"/>
      <x:c r="P67" s="38"/>
      <x:c r="Q67" s="38"/>
      <x:c r="R67" s="38"/>
      <x:c r="S67" s="38" t="str">
        <x:f>IF(R67="Approved Current","Yes","No")</x:f>
        <x:v>No</x:v>
      </x:c>
      <x:c r="T67" s="38"/>
      <x:c r="U67" s="38"/>
      <x:c r="V67" s="38"/>
      <x:c r="W67" s="38"/>
      <x:c r="X67" s="38" t="str">
        <x:f>IF(D67="","",IF(V67&lt;&gt;"",V67,IF(J67="Walkover",IF(K67=XLOOKUP(D67,Fixtures!$A$5:$A$204,Fixtures!$D$5:$D$204,""),Rules!$C$12,IF(K67=XLOOKUP(D67,Fixtures!$A$5:$A$204,Fixtures!$F$5:$F$204,""),Rules!$C$13,"")),H67)))</x:f>
      </x:c>
      <x:c r="Y67" s="38" t="str">
        <x:f>IF(D67="","",IF(W67&lt;&gt;"",W67,IF(J67="Walkover",IF(K67=XLOOKUP(D67,Fixtures!$A$5:$A$204,Fixtures!$F$5:$F$204,""),Rules!$C$12,IF(K67=XLOOKUP(D67,Fixtures!$A$5:$A$204,Fixtures!$D$5:$D$204,""),Rules!$C$13,"")),I67)))</x:f>
      </x:c>
      <x:c r="Z67" s="38" t="str">
        <x:f>IF(D67="","",IF(AND(R67="Approved Current",OR(J67="Played",J67="Walkover")),"Yes","No"))</x:f>
      </x:c>
      <x:c r="AA67" s="38" t="str">
        <x:f>IF(D67="","",IF(AND(R67="Approved Current",COUNTIFS($D$5:$D$204,D67,$R$5:$R$204,"Approved Current")&gt;1),"Multiple Approved Current",IF(AND(J67="Walkover",K67=""),"Walkover missing winner","OK")))</x:f>
      </x:c>
    </x:row>
    <x:row r="68" ht="15" hidden="0" customHeight="1">
      <x:c r="A68" s="67"/>
      <x:c r="B68" s="38"/>
      <x:c r="C68" s="38"/>
      <x:c r="D68" s="38"/>
      <x:c r="E68" s="38" t="str">
        <x:f>IFERROR(XLOOKUP(D68,Fixtures!$A$5:$A$204,Fixtures!$M$5:$M$204,""),"")</x:f>
      </x:c>
      <x:c r="F68" s="38" t="str">
        <x:f>IFERROR(XLOOKUP(D68,Fixtures!$A$5:$A$204,Fixtures!$E$5:$E$204,""),"")</x:f>
      </x:c>
      <x:c r="G68" s="38" t="str">
        <x:f>IFERROR(XLOOKUP(D68,Fixtures!$A$5:$A$204,Fixtures!$G$5:$G$204,""),"")</x:f>
      </x:c>
      <x:c r="H68" s="38"/>
      <x:c r="I68" s="38"/>
      <x:c r="J68" s="38"/>
      <x:c r="K68" s="38"/>
      <x:c r="L68" s="60"/>
      <x:c r="M68" s="38"/>
      <x:c r="N68" s="38"/>
      <x:c r="O68" s="38"/>
      <x:c r="P68" s="38"/>
      <x:c r="Q68" s="38"/>
      <x:c r="R68" s="38"/>
      <x:c r="S68" s="38" t="str">
        <x:f>IF(R68="Approved Current","Yes","No")</x:f>
        <x:v>No</x:v>
      </x:c>
      <x:c r="T68" s="38"/>
      <x:c r="U68" s="38"/>
      <x:c r="V68" s="38"/>
      <x:c r="W68" s="38"/>
      <x:c r="X68" s="38" t="str">
        <x:f>IF(D68="","",IF(V68&lt;&gt;"",V68,IF(J68="Walkover",IF(K68=XLOOKUP(D68,Fixtures!$A$5:$A$204,Fixtures!$D$5:$D$204,""),Rules!$C$12,IF(K68=XLOOKUP(D68,Fixtures!$A$5:$A$204,Fixtures!$F$5:$F$204,""),Rules!$C$13,"")),H68)))</x:f>
      </x:c>
      <x:c r="Y68" s="38" t="str">
        <x:f>IF(D68="","",IF(W68&lt;&gt;"",W68,IF(J68="Walkover",IF(K68=XLOOKUP(D68,Fixtures!$A$5:$A$204,Fixtures!$F$5:$F$204,""),Rules!$C$12,IF(K68=XLOOKUP(D68,Fixtures!$A$5:$A$204,Fixtures!$D$5:$D$204,""),Rules!$C$13,"")),I68)))</x:f>
      </x:c>
      <x:c r="Z68" s="38" t="str">
        <x:f>IF(D68="","",IF(AND(R68="Approved Current",OR(J68="Played",J68="Walkover")),"Yes","No"))</x:f>
      </x:c>
      <x:c r="AA68" s="38" t="str">
        <x:f>IF(D68="","",IF(AND(R68="Approved Current",COUNTIFS($D$5:$D$204,D68,$R$5:$R$204,"Approved Current")&gt;1),"Multiple Approved Current",IF(AND(J68="Walkover",K68=""),"Walkover missing winner","OK")))</x:f>
      </x:c>
    </x:row>
    <x:row r="69" ht="15" hidden="0" customHeight="1">
      <x:c r="A69" s="67"/>
      <x:c r="B69" s="38"/>
      <x:c r="C69" s="38"/>
      <x:c r="D69" s="38"/>
      <x:c r="E69" s="38" t="str">
        <x:f>IFERROR(XLOOKUP(D69,Fixtures!$A$5:$A$204,Fixtures!$M$5:$M$204,""),"")</x:f>
      </x:c>
      <x:c r="F69" s="38" t="str">
        <x:f>IFERROR(XLOOKUP(D69,Fixtures!$A$5:$A$204,Fixtures!$E$5:$E$204,""),"")</x:f>
      </x:c>
      <x:c r="G69" s="38" t="str">
        <x:f>IFERROR(XLOOKUP(D69,Fixtures!$A$5:$A$204,Fixtures!$G$5:$G$204,""),"")</x:f>
      </x:c>
      <x:c r="H69" s="38"/>
      <x:c r="I69" s="38"/>
      <x:c r="J69" s="38"/>
      <x:c r="K69" s="38"/>
      <x:c r="L69" s="60"/>
      <x:c r="M69" s="38"/>
      <x:c r="N69" s="38"/>
      <x:c r="O69" s="38"/>
      <x:c r="P69" s="38"/>
      <x:c r="Q69" s="38"/>
      <x:c r="R69" s="38"/>
      <x:c r="S69" s="38" t="str">
        <x:f>IF(R69="Approved Current","Yes","No")</x:f>
        <x:v>No</x:v>
      </x:c>
      <x:c r="T69" s="38"/>
      <x:c r="U69" s="38"/>
      <x:c r="V69" s="38"/>
      <x:c r="W69" s="38"/>
      <x:c r="X69" s="38" t="str">
        <x:f>IF(D69="","",IF(V69&lt;&gt;"",V69,IF(J69="Walkover",IF(K69=XLOOKUP(D69,Fixtures!$A$5:$A$204,Fixtures!$D$5:$D$204,""),Rules!$C$12,IF(K69=XLOOKUP(D69,Fixtures!$A$5:$A$204,Fixtures!$F$5:$F$204,""),Rules!$C$13,"")),H69)))</x:f>
      </x:c>
      <x:c r="Y69" s="38" t="str">
        <x:f>IF(D69="","",IF(W69&lt;&gt;"",W69,IF(J69="Walkover",IF(K69=XLOOKUP(D69,Fixtures!$A$5:$A$204,Fixtures!$F$5:$F$204,""),Rules!$C$12,IF(K69=XLOOKUP(D69,Fixtures!$A$5:$A$204,Fixtures!$D$5:$D$204,""),Rules!$C$13,"")),I69)))</x:f>
      </x:c>
      <x:c r="Z69" s="38" t="str">
        <x:f>IF(D69="","",IF(AND(R69="Approved Current",OR(J69="Played",J69="Walkover")),"Yes","No"))</x:f>
      </x:c>
      <x:c r="AA69" s="38" t="str">
        <x:f>IF(D69="","",IF(AND(R69="Approved Current",COUNTIFS($D$5:$D$204,D69,$R$5:$R$204,"Approved Current")&gt;1),"Multiple Approved Current",IF(AND(J69="Walkover",K69=""),"Walkover missing winner","OK")))</x:f>
      </x:c>
    </x:row>
    <x:row r="70" ht="15" hidden="0" customHeight="1">
      <x:c r="A70" s="67"/>
      <x:c r="B70" s="38"/>
      <x:c r="C70" s="38"/>
      <x:c r="D70" s="38"/>
      <x:c r="E70" s="38" t="str">
        <x:f>IFERROR(XLOOKUP(D70,Fixtures!$A$5:$A$204,Fixtures!$M$5:$M$204,""),"")</x:f>
      </x:c>
      <x:c r="F70" s="38" t="str">
        <x:f>IFERROR(XLOOKUP(D70,Fixtures!$A$5:$A$204,Fixtures!$E$5:$E$204,""),"")</x:f>
      </x:c>
      <x:c r="G70" s="38" t="str">
        <x:f>IFERROR(XLOOKUP(D70,Fixtures!$A$5:$A$204,Fixtures!$G$5:$G$204,""),"")</x:f>
      </x:c>
      <x:c r="H70" s="38"/>
      <x:c r="I70" s="38"/>
      <x:c r="J70" s="38"/>
      <x:c r="K70" s="38"/>
      <x:c r="L70" s="60"/>
      <x:c r="M70" s="38"/>
      <x:c r="N70" s="38"/>
      <x:c r="O70" s="38"/>
      <x:c r="P70" s="38"/>
      <x:c r="Q70" s="38"/>
      <x:c r="R70" s="38"/>
      <x:c r="S70" s="38" t="str">
        <x:f>IF(R70="Approved Current","Yes","No")</x:f>
        <x:v>No</x:v>
      </x:c>
      <x:c r="T70" s="38"/>
      <x:c r="U70" s="38"/>
      <x:c r="V70" s="38"/>
      <x:c r="W70" s="38"/>
      <x:c r="X70" s="38" t="str">
        <x:f>IF(D70="","",IF(V70&lt;&gt;"",V70,IF(J70="Walkover",IF(K70=XLOOKUP(D70,Fixtures!$A$5:$A$204,Fixtures!$D$5:$D$204,""),Rules!$C$12,IF(K70=XLOOKUP(D70,Fixtures!$A$5:$A$204,Fixtures!$F$5:$F$204,""),Rules!$C$13,"")),H70)))</x:f>
      </x:c>
      <x:c r="Y70" s="38" t="str">
        <x:f>IF(D70="","",IF(W70&lt;&gt;"",W70,IF(J70="Walkover",IF(K70=XLOOKUP(D70,Fixtures!$A$5:$A$204,Fixtures!$F$5:$F$204,""),Rules!$C$12,IF(K70=XLOOKUP(D70,Fixtures!$A$5:$A$204,Fixtures!$D$5:$D$204,""),Rules!$C$13,"")),I70)))</x:f>
      </x:c>
      <x:c r="Z70" s="38" t="str">
        <x:f>IF(D70="","",IF(AND(R70="Approved Current",OR(J70="Played",J70="Walkover")),"Yes","No"))</x:f>
      </x:c>
      <x:c r="AA70" s="38" t="str">
        <x:f>IF(D70="","",IF(AND(R70="Approved Current",COUNTIFS($D$5:$D$204,D70,$R$5:$R$204,"Approved Current")&gt;1),"Multiple Approved Current",IF(AND(J70="Walkover",K70=""),"Walkover missing winner","OK")))</x:f>
      </x:c>
    </x:row>
    <x:row r="71" ht="15" hidden="0" customHeight="1">
      <x:c r="A71" s="67"/>
      <x:c r="B71" s="38"/>
      <x:c r="C71" s="38"/>
      <x:c r="D71" s="38"/>
      <x:c r="E71" s="38" t="str">
        <x:f>IFERROR(XLOOKUP(D71,Fixtures!$A$5:$A$204,Fixtures!$M$5:$M$204,""),"")</x:f>
      </x:c>
      <x:c r="F71" s="38" t="str">
        <x:f>IFERROR(XLOOKUP(D71,Fixtures!$A$5:$A$204,Fixtures!$E$5:$E$204,""),"")</x:f>
      </x:c>
      <x:c r="G71" s="38" t="str">
        <x:f>IFERROR(XLOOKUP(D71,Fixtures!$A$5:$A$204,Fixtures!$G$5:$G$204,""),"")</x:f>
      </x:c>
      <x:c r="H71" s="38"/>
      <x:c r="I71" s="38"/>
      <x:c r="J71" s="38"/>
      <x:c r="K71" s="38"/>
      <x:c r="L71" s="60"/>
      <x:c r="M71" s="38"/>
      <x:c r="N71" s="38"/>
      <x:c r="O71" s="38"/>
      <x:c r="P71" s="38"/>
      <x:c r="Q71" s="38"/>
      <x:c r="R71" s="38"/>
      <x:c r="S71" s="38" t="str">
        <x:f>IF(R71="Approved Current","Yes","No")</x:f>
        <x:v>No</x:v>
      </x:c>
      <x:c r="T71" s="38"/>
      <x:c r="U71" s="38"/>
      <x:c r="V71" s="38"/>
      <x:c r="W71" s="38"/>
      <x:c r="X71" s="38" t="str">
        <x:f>IF(D71="","",IF(V71&lt;&gt;"",V71,IF(J71="Walkover",IF(K71=XLOOKUP(D71,Fixtures!$A$5:$A$204,Fixtures!$D$5:$D$204,""),Rules!$C$12,IF(K71=XLOOKUP(D71,Fixtures!$A$5:$A$204,Fixtures!$F$5:$F$204,""),Rules!$C$13,"")),H71)))</x:f>
      </x:c>
      <x:c r="Y71" s="38" t="str">
        <x:f>IF(D71="","",IF(W71&lt;&gt;"",W71,IF(J71="Walkover",IF(K71=XLOOKUP(D71,Fixtures!$A$5:$A$204,Fixtures!$F$5:$F$204,""),Rules!$C$12,IF(K71=XLOOKUP(D71,Fixtures!$A$5:$A$204,Fixtures!$D$5:$D$204,""),Rules!$C$13,"")),I71)))</x:f>
      </x:c>
      <x:c r="Z71" s="38" t="str">
        <x:f>IF(D71="","",IF(AND(R71="Approved Current",OR(J71="Played",J71="Walkover")),"Yes","No"))</x:f>
      </x:c>
      <x:c r="AA71" s="38" t="str">
        <x:f>IF(D71="","",IF(AND(R71="Approved Current",COUNTIFS($D$5:$D$204,D71,$R$5:$R$204,"Approved Current")&gt;1),"Multiple Approved Current",IF(AND(J71="Walkover",K71=""),"Walkover missing winner","OK")))</x:f>
      </x:c>
    </x:row>
    <x:row r="72" ht="15" hidden="0" customHeight="1">
      <x:c r="A72" s="67"/>
      <x:c r="B72" s="38"/>
      <x:c r="C72" s="38"/>
      <x:c r="D72" s="38"/>
      <x:c r="E72" s="38" t="str">
        <x:f>IFERROR(XLOOKUP(D72,Fixtures!$A$5:$A$204,Fixtures!$M$5:$M$204,""),"")</x:f>
      </x:c>
      <x:c r="F72" s="38" t="str">
        <x:f>IFERROR(XLOOKUP(D72,Fixtures!$A$5:$A$204,Fixtures!$E$5:$E$204,""),"")</x:f>
      </x:c>
      <x:c r="G72" s="38" t="str">
        <x:f>IFERROR(XLOOKUP(D72,Fixtures!$A$5:$A$204,Fixtures!$G$5:$G$204,""),"")</x:f>
      </x:c>
      <x:c r="H72" s="38"/>
      <x:c r="I72" s="38"/>
      <x:c r="J72" s="38"/>
      <x:c r="K72" s="38"/>
      <x:c r="L72" s="60"/>
      <x:c r="M72" s="38"/>
      <x:c r="N72" s="38"/>
      <x:c r="O72" s="38"/>
      <x:c r="P72" s="38"/>
      <x:c r="Q72" s="38"/>
      <x:c r="R72" s="38"/>
      <x:c r="S72" s="38" t="str">
        <x:f>IF(R72="Approved Current","Yes","No")</x:f>
        <x:v>No</x:v>
      </x:c>
      <x:c r="T72" s="38"/>
      <x:c r="U72" s="38"/>
      <x:c r="V72" s="38"/>
      <x:c r="W72" s="38"/>
      <x:c r="X72" s="38" t="str">
        <x:f>IF(D72="","",IF(V72&lt;&gt;"",V72,IF(J72="Walkover",IF(K72=XLOOKUP(D72,Fixtures!$A$5:$A$204,Fixtures!$D$5:$D$204,""),Rules!$C$12,IF(K72=XLOOKUP(D72,Fixtures!$A$5:$A$204,Fixtures!$F$5:$F$204,""),Rules!$C$13,"")),H72)))</x:f>
      </x:c>
      <x:c r="Y72" s="38" t="str">
        <x:f>IF(D72="","",IF(W72&lt;&gt;"",W72,IF(J72="Walkover",IF(K72=XLOOKUP(D72,Fixtures!$A$5:$A$204,Fixtures!$F$5:$F$204,""),Rules!$C$12,IF(K72=XLOOKUP(D72,Fixtures!$A$5:$A$204,Fixtures!$D$5:$D$204,""),Rules!$C$13,"")),I72)))</x:f>
      </x:c>
      <x:c r="Z72" s="38" t="str">
        <x:f>IF(D72="","",IF(AND(R72="Approved Current",OR(J72="Played",J72="Walkover")),"Yes","No"))</x:f>
      </x:c>
      <x:c r="AA72" s="38" t="str">
        <x:f>IF(D72="","",IF(AND(R72="Approved Current",COUNTIFS($D$5:$D$204,D72,$R$5:$R$204,"Approved Current")&gt;1),"Multiple Approved Current",IF(AND(J72="Walkover",K72=""),"Walkover missing winner","OK")))</x:f>
      </x:c>
    </x:row>
    <x:row r="73" ht="15" hidden="0" customHeight="1">
      <x:c r="A73" s="67"/>
      <x:c r="B73" s="38"/>
      <x:c r="C73" s="38"/>
      <x:c r="D73" s="38"/>
      <x:c r="E73" s="38" t="str">
        <x:f>IFERROR(XLOOKUP(D73,Fixtures!$A$5:$A$204,Fixtures!$M$5:$M$204,""),"")</x:f>
      </x:c>
      <x:c r="F73" s="38" t="str">
        <x:f>IFERROR(XLOOKUP(D73,Fixtures!$A$5:$A$204,Fixtures!$E$5:$E$204,""),"")</x:f>
      </x:c>
      <x:c r="G73" s="38" t="str">
        <x:f>IFERROR(XLOOKUP(D73,Fixtures!$A$5:$A$204,Fixtures!$G$5:$G$204,""),"")</x:f>
      </x:c>
      <x:c r="H73" s="38"/>
      <x:c r="I73" s="38"/>
      <x:c r="J73" s="38"/>
      <x:c r="K73" s="38"/>
      <x:c r="L73" s="60"/>
      <x:c r="M73" s="38"/>
      <x:c r="N73" s="38"/>
      <x:c r="O73" s="38"/>
      <x:c r="P73" s="38"/>
      <x:c r="Q73" s="38"/>
      <x:c r="R73" s="38"/>
      <x:c r="S73" s="38" t="str">
        <x:f>IF(R73="Approved Current","Yes","No")</x:f>
        <x:v>No</x:v>
      </x:c>
      <x:c r="T73" s="38"/>
      <x:c r="U73" s="38"/>
      <x:c r="V73" s="38"/>
      <x:c r="W73" s="38"/>
      <x:c r="X73" s="38" t="str">
        <x:f>IF(D73="","",IF(V73&lt;&gt;"",V73,IF(J73="Walkover",IF(K73=XLOOKUP(D73,Fixtures!$A$5:$A$204,Fixtures!$D$5:$D$204,""),Rules!$C$12,IF(K73=XLOOKUP(D73,Fixtures!$A$5:$A$204,Fixtures!$F$5:$F$204,""),Rules!$C$13,"")),H73)))</x:f>
      </x:c>
      <x:c r="Y73" s="38" t="str">
        <x:f>IF(D73="","",IF(W73&lt;&gt;"",W73,IF(J73="Walkover",IF(K73=XLOOKUP(D73,Fixtures!$A$5:$A$204,Fixtures!$F$5:$F$204,""),Rules!$C$12,IF(K73=XLOOKUP(D73,Fixtures!$A$5:$A$204,Fixtures!$D$5:$D$204,""),Rules!$C$13,"")),I73)))</x:f>
      </x:c>
      <x:c r="Z73" s="38" t="str">
        <x:f>IF(D73="","",IF(AND(R73="Approved Current",OR(J73="Played",J73="Walkover")),"Yes","No"))</x:f>
      </x:c>
      <x:c r="AA73" s="38" t="str">
        <x:f>IF(D73="","",IF(AND(R73="Approved Current",COUNTIFS($D$5:$D$204,D73,$R$5:$R$204,"Approved Current")&gt;1),"Multiple Approved Current",IF(AND(J73="Walkover",K73=""),"Walkover missing winner","OK")))</x:f>
      </x:c>
    </x:row>
    <x:row r="74" ht="15" hidden="0" customHeight="1">
      <x:c r="A74" s="67"/>
      <x:c r="B74" s="38"/>
      <x:c r="C74" s="38"/>
      <x:c r="D74" s="38"/>
      <x:c r="E74" s="38" t="str">
        <x:f>IFERROR(XLOOKUP(D74,Fixtures!$A$5:$A$204,Fixtures!$M$5:$M$204,""),"")</x:f>
      </x:c>
      <x:c r="F74" s="38" t="str">
        <x:f>IFERROR(XLOOKUP(D74,Fixtures!$A$5:$A$204,Fixtures!$E$5:$E$204,""),"")</x:f>
      </x:c>
      <x:c r="G74" s="38" t="str">
        <x:f>IFERROR(XLOOKUP(D74,Fixtures!$A$5:$A$204,Fixtures!$G$5:$G$204,""),"")</x:f>
      </x:c>
      <x:c r="H74" s="38"/>
      <x:c r="I74" s="38"/>
      <x:c r="J74" s="38"/>
      <x:c r="K74" s="38"/>
      <x:c r="L74" s="60"/>
      <x:c r="M74" s="38"/>
      <x:c r="N74" s="38"/>
      <x:c r="O74" s="38"/>
      <x:c r="P74" s="38"/>
      <x:c r="Q74" s="38"/>
      <x:c r="R74" s="38"/>
      <x:c r="S74" s="38" t="str">
        <x:f>IF(R74="Approved Current","Yes","No")</x:f>
        <x:v>No</x:v>
      </x:c>
      <x:c r="T74" s="38"/>
      <x:c r="U74" s="38"/>
      <x:c r="V74" s="38"/>
      <x:c r="W74" s="38"/>
      <x:c r="X74" s="38" t="str">
        <x:f>IF(D74="","",IF(V74&lt;&gt;"",V74,IF(J74="Walkover",IF(K74=XLOOKUP(D74,Fixtures!$A$5:$A$204,Fixtures!$D$5:$D$204,""),Rules!$C$12,IF(K74=XLOOKUP(D74,Fixtures!$A$5:$A$204,Fixtures!$F$5:$F$204,""),Rules!$C$13,"")),H74)))</x:f>
      </x:c>
      <x:c r="Y74" s="38" t="str">
        <x:f>IF(D74="","",IF(W74&lt;&gt;"",W74,IF(J74="Walkover",IF(K74=XLOOKUP(D74,Fixtures!$A$5:$A$204,Fixtures!$F$5:$F$204,""),Rules!$C$12,IF(K74=XLOOKUP(D74,Fixtures!$A$5:$A$204,Fixtures!$D$5:$D$204,""),Rules!$C$13,"")),I74)))</x:f>
      </x:c>
      <x:c r="Z74" s="38" t="str">
        <x:f>IF(D74="","",IF(AND(R74="Approved Current",OR(J74="Played",J74="Walkover")),"Yes","No"))</x:f>
      </x:c>
      <x:c r="AA74" s="38" t="str">
        <x:f>IF(D74="","",IF(AND(R74="Approved Current",COUNTIFS($D$5:$D$204,D74,$R$5:$R$204,"Approved Current")&gt;1),"Multiple Approved Current",IF(AND(J74="Walkover",K74=""),"Walkover missing winner","OK")))</x:f>
      </x:c>
    </x:row>
    <x:row r="75" ht="15" hidden="0" customHeight="1">
      <x:c r="A75" s="67"/>
      <x:c r="B75" s="38"/>
      <x:c r="C75" s="38"/>
      <x:c r="D75" s="38"/>
      <x:c r="E75" s="38" t="str">
        <x:f>IFERROR(XLOOKUP(D75,Fixtures!$A$5:$A$204,Fixtures!$M$5:$M$204,""),"")</x:f>
      </x:c>
      <x:c r="F75" s="38" t="str">
        <x:f>IFERROR(XLOOKUP(D75,Fixtures!$A$5:$A$204,Fixtures!$E$5:$E$204,""),"")</x:f>
      </x:c>
      <x:c r="G75" s="38" t="str">
        <x:f>IFERROR(XLOOKUP(D75,Fixtures!$A$5:$A$204,Fixtures!$G$5:$G$204,""),"")</x:f>
      </x:c>
      <x:c r="H75" s="38"/>
      <x:c r="I75" s="38"/>
      <x:c r="J75" s="38"/>
      <x:c r="K75" s="38"/>
      <x:c r="L75" s="60"/>
      <x:c r="M75" s="38"/>
      <x:c r="N75" s="38"/>
      <x:c r="O75" s="38"/>
      <x:c r="P75" s="38"/>
      <x:c r="Q75" s="38"/>
      <x:c r="R75" s="38"/>
      <x:c r="S75" s="38" t="str">
        <x:f>IF(R75="Approved Current","Yes","No")</x:f>
        <x:v>No</x:v>
      </x:c>
      <x:c r="T75" s="38"/>
      <x:c r="U75" s="38"/>
      <x:c r="V75" s="38"/>
      <x:c r="W75" s="38"/>
      <x:c r="X75" s="38" t="str">
        <x:f>IF(D75="","",IF(V75&lt;&gt;"",V75,IF(J75="Walkover",IF(K75=XLOOKUP(D75,Fixtures!$A$5:$A$204,Fixtures!$D$5:$D$204,""),Rules!$C$12,IF(K75=XLOOKUP(D75,Fixtures!$A$5:$A$204,Fixtures!$F$5:$F$204,""),Rules!$C$13,"")),H75)))</x:f>
      </x:c>
      <x:c r="Y75" s="38" t="str">
        <x:f>IF(D75="","",IF(W75&lt;&gt;"",W75,IF(J75="Walkover",IF(K75=XLOOKUP(D75,Fixtures!$A$5:$A$204,Fixtures!$F$5:$F$204,""),Rules!$C$12,IF(K75=XLOOKUP(D75,Fixtures!$A$5:$A$204,Fixtures!$D$5:$D$204,""),Rules!$C$13,"")),I75)))</x:f>
      </x:c>
      <x:c r="Z75" s="38" t="str">
        <x:f>IF(D75="","",IF(AND(R75="Approved Current",OR(J75="Played",J75="Walkover")),"Yes","No"))</x:f>
      </x:c>
      <x:c r="AA75" s="38" t="str">
        <x:f>IF(D75="","",IF(AND(R75="Approved Current",COUNTIFS($D$5:$D$204,D75,$R$5:$R$204,"Approved Current")&gt;1),"Multiple Approved Current",IF(AND(J75="Walkover",K75=""),"Walkover missing winner","OK")))</x:f>
      </x:c>
    </x:row>
    <x:row r="76" ht="15" hidden="0" customHeight="1">
      <x:c r="A76" s="67"/>
      <x:c r="B76" s="38"/>
      <x:c r="C76" s="38"/>
      <x:c r="D76" s="38"/>
      <x:c r="E76" s="38" t="str">
        <x:f>IFERROR(XLOOKUP(D76,Fixtures!$A$5:$A$204,Fixtures!$M$5:$M$204,""),"")</x:f>
      </x:c>
      <x:c r="F76" s="38" t="str">
        <x:f>IFERROR(XLOOKUP(D76,Fixtures!$A$5:$A$204,Fixtures!$E$5:$E$204,""),"")</x:f>
      </x:c>
      <x:c r="G76" s="38" t="str">
        <x:f>IFERROR(XLOOKUP(D76,Fixtures!$A$5:$A$204,Fixtures!$G$5:$G$204,""),"")</x:f>
      </x:c>
      <x:c r="H76" s="38"/>
      <x:c r="I76" s="38"/>
      <x:c r="J76" s="38"/>
      <x:c r="K76" s="38"/>
      <x:c r="L76" s="60"/>
      <x:c r="M76" s="38"/>
      <x:c r="N76" s="38"/>
      <x:c r="O76" s="38"/>
      <x:c r="P76" s="38"/>
      <x:c r="Q76" s="38"/>
      <x:c r="R76" s="38"/>
      <x:c r="S76" s="38" t="str">
        <x:f>IF(R76="Approved Current","Yes","No")</x:f>
        <x:v>No</x:v>
      </x:c>
      <x:c r="T76" s="38"/>
      <x:c r="U76" s="38"/>
      <x:c r="V76" s="38"/>
      <x:c r="W76" s="38"/>
      <x:c r="X76" s="38" t="str">
        <x:f>IF(D76="","",IF(V76&lt;&gt;"",V76,IF(J76="Walkover",IF(K76=XLOOKUP(D76,Fixtures!$A$5:$A$204,Fixtures!$D$5:$D$204,""),Rules!$C$12,IF(K76=XLOOKUP(D76,Fixtures!$A$5:$A$204,Fixtures!$F$5:$F$204,""),Rules!$C$13,"")),H76)))</x:f>
      </x:c>
      <x:c r="Y76" s="38" t="str">
        <x:f>IF(D76="","",IF(W76&lt;&gt;"",W76,IF(J76="Walkover",IF(K76=XLOOKUP(D76,Fixtures!$A$5:$A$204,Fixtures!$F$5:$F$204,""),Rules!$C$12,IF(K76=XLOOKUP(D76,Fixtures!$A$5:$A$204,Fixtures!$D$5:$D$204,""),Rules!$C$13,"")),I76)))</x:f>
      </x:c>
      <x:c r="Z76" s="38" t="str">
        <x:f>IF(D76="","",IF(AND(R76="Approved Current",OR(J76="Played",J76="Walkover")),"Yes","No"))</x:f>
      </x:c>
      <x:c r="AA76" s="38" t="str">
        <x:f>IF(D76="","",IF(AND(R76="Approved Current",COUNTIFS($D$5:$D$204,D76,$R$5:$R$204,"Approved Current")&gt;1),"Multiple Approved Current",IF(AND(J76="Walkover",K76=""),"Walkover missing winner","OK")))</x:f>
      </x:c>
    </x:row>
    <x:row r="77" ht="15" hidden="0" customHeight="1">
      <x:c r="A77" s="67"/>
      <x:c r="B77" s="38"/>
      <x:c r="C77" s="38"/>
      <x:c r="D77" s="38"/>
      <x:c r="E77" s="38" t="str">
        <x:f>IFERROR(XLOOKUP(D77,Fixtures!$A$5:$A$204,Fixtures!$M$5:$M$204,""),"")</x:f>
      </x:c>
      <x:c r="F77" s="38" t="str">
        <x:f>IFERROR(XLOOKUP(D77,Fixtures!$A$5:$A$204,Fixtures!$E$5:$E$204,""),"")</x:f>
      </x:c>
      <x:c r="G77" s="38" t="str">
        <x:f>IFERROR(XLOOKUP(D77,Fixtures!$A$5:$A$204,Fixtures!$G$5:$G$204,""),"")</x:f>
      </x:c>
      <x:c r="H77" s="38"/>
      <x:c r="I77" s="38"/>
      <x:c r="J77" s="38"/>
      <x:c r="K77" s="38"/>
      <x:c r="L77" s="60"/>
      <x:c r="M77" s="38"/>
      <x:c r="N77" s="38"/>
      <x:c r="O77" s="38"/>
      <x:c r="P77" s="38"/>
      <x:c r="Q77" s="38"/>
      <x:c r="R77" s="38"/>
      <x:c r="S77" s="38" t="str">
        <x:f>IF(R77="Approved Current","Yes","No")</x:f>
        <x:v>No</x:v>
      </x:c>
      <x:c r="T77" s="38"/>
      <x:c r="U77" s="38"/>
      <x:c r="V77" s="38"/>
      <x:c r="W77" s="38"/>
      <x:c r="X77" s="38" t="str">
        <x:f>IF(D77="","",IF(V77&lt;&gt;"",V77,IF(J77="Walkover",IF(K77=XLOOKUP(D77,Fixtures!$A$5:$A$204,Fixtures!$D$5:$D$204,""),Rules!$C$12,IF(K77=XLOOKUP(D77,Fixtures!$A$5:$A$204,Fixtures!$F$5:$F$204,""),Rules!$C$13,"")),H77)))</x:f>
      </x:c>
      <x:c r="Y77" s="38" t="str">
        <x:f>IF(D77="","",IF(W77&lt;&gt;"",W77,IF(J77="Walkover",IF(K77=XLOOKUP(D77,Fixtures!$A$5:$A$204,Fixtures!$F$5:$F$204,""),Rules!$C$12,IF(K77=XLOOKUP(D77,Fixtures!$A$5:$A$204,Fixtures!$D$5:$D$204,""),Rules!$C$13,"")),I77)))</x:f>
      </x:c>
      <x:c r="Z77" s="38" t="str">
        <x:f>IF(D77="","",IF(AND(R77="Approved Current",OR(J77="Played",J77="Walkover")),"Yes","No"))</x:f>
      </x:c>
      <x:c r="AA77" s="38" t="str">
        <x:f>IF(D77="","",IF(AND(R77="Approved Current",COUNTIFS($D$5:$D$204,D77,$R$5:$R$204,"Approved Current")&gt;1),"Multiple Approved Current",IF(AND(J77="Walkover",K77=""),"Walkover missing winner","OK")))</x:f>
      </x:c>
    </x:row>
    <x:row r="78" ht="15" hidden="0" customHeight="1">
      <x:c r="A78" s="67"/>
      <x:c r="B78" s="38"/>
      <x:c r="C78" s="38"/>
      <x:c r="D78" s="38"/>
      <x:c r="E78" s="38" t="str">
        <x:f>IFERROR(XLOOKUP(D78,Fixtures!$A$5:$A$204,Fixtures!$M$5:$M$204,""),"")</x:f>
      </x:c>
      <x:c r="F78" s="38" t="str">
        <x:f>IFERROR(XLOOKUP(D78,Fixtures!$A$5:$A$204,Fixtures!$E$5:$E$204,""),"")</x:f>
      </x:c>
      <x:c r="G78" s="38" t="str">
        <x:f>IFERROR(XLOOKUP(D78,Fixtures!$A$5:$A$204,Fixtures!$G$5:$G$204,""),"")</x:f>
      </x:c>
      <x:c r="H78" s="38"/>
      <x:c r="I78" s="38"/>
      <x:c r="J78" s="38"/>
      <x:c r="K78" s="38"/>
      <x:c r="L78" s="60"/>
      <x:c r="M78" s="38"/>
      <x:c r="N78" s="38"/>
      <x:c r="O78" s="38"/>
      <x:c r="P78" s="38"/>
      <x:c r="Q78" s="38"/>
      <x:c r="R78" s="38"/>
      <x:c r="S78" s="38" t="str">
        <x:f>IF(R78="Approved Current","Yes","No")</x:f>
        <x:v>No</x:v>
      </x:c>
      <x:c r="T78" s="38"/>
      <x:c r="U78" s="38"/>
      <x:c r="V78" s="38"/>
      <x:c r="W78" s="38"/>
      <x:c r="X78" s="38" t="str">
        <x:f>IF(D78="","",IF(V78&lt;&gt;"",V78,IF(J78="Walkover",IF(K78=XLOOKUP(D78,Fixtures!$A$5:$A$204,Fixtures!$D$5:$D$204,""),Rules!$C$12,IF(K78=XLOOKUP(D78,Fixtures!$A$5:$A$204,Fixtures!$F$5:$F$204,""),Rules!$C$13,"")),H78)))</x:f>
      </x:c>
      <x:c r="Y78" s="38" t="str">
        <x:f>IF(D78="","",IF(W78&lt;&gt;"",W78,IF(J78="Walkover",IF(K78=XLOOKUP(D78,Fixtures!$A$5:$A$204,Fixtures!$F$5:$F$204,""),Rules!$C$12,IF(K78=XLOOKUP(D78,Fixtures!$A$5:$A$204,Fixtures!$D$5:$D$204,""),Rules!$C$13,"")),I78)))</x:f>
      </x:c>
      <x:c r="Z78" s="38" t="str">
        <x:f>IF(D78="","",IF(AND(R78="Approved Current",OR(J78="Played",J78="Walkover")),"Yes","No"))</x:f>
      </x:c>
      <x:c r="AA78" s="38" t="str">
        <x:f>IF(D78="","",IF(AND(R78="Approved Current",COUNTIFS($D$5:$D$204,D78,$R$5:$R$204,"Approved Current")&gt;1),"Multiple Approved Current",IF(AND(J78="Walkover",K78=""),"Walkover missing winner","OK")))</x:f>
      </x:c>
    </x:row>
    <x:row r="79" ht="15" hidden="0" customHeight="1">
      <x:c r="A79" s="67"/>
      <x:c r="B79" s="38"/>
      <x:c r="C79" s="38"/>
      <x:c r="D79" s="38"/>
      <x:c r="E79" s="38" t="str">
        <x:f>IFERROR(XLOOKUP(D79,Fixtures!$A$5:$A$204,Fixtures!$M$5:$M$204,""),"")</x:f>
      </x:c>
      <x:c r="F79" s="38" t="str">
        <x:f>IFERROR(XLOOKUP(D79,Fixtures!$A$5:$A$204,Fixtures!$E$5:$E$204,""),"")</x:f>
      </x:c>
      <x:c r="G79" s="38" t="str">
        <x:f>IFERROR(XLOOKUP(D79,Fixtures!$A$5:$A$204,Fixtures!$G$5:$G$204,""),"")</x:f>
      </x:c>
      <x:c r="H79" s="38"/>
      <x:c r="I79" s="38"/>
      <x:c r="J79" s="38"/>
      <x:c r="K79" s="38"/>
      <x:c r="L79" s="60"/>
      <x:c r="M79" s="38"/>
      <x:c r="N79" s="38"/>
      <x:c r="O79" s="38"/>
      <x:c r="P79" s="38"/>
      <x:c r="Q79" s="38"/>
      <x:c r="R79" s="38"/>
      <x:c r="S79" s="38" t="str">
        <x:f>IF(R79="Approved Current","Yes","No")</x:f>
        <x:v>No</x:v>
      </x:c>
      <x:c r="T79" s="38"/>
      <x:c r="U79" s="38"/>
      <x:c r="V79" s="38"/>
      <x:c r="W79" s="38"/>
      <x:c r="X79" s="38" t="str">
        <x:f>IF(D79="","",IF(V79&lt;&gt;"",V79,IF(J79="Walkover",IF(K79=XLOOKUP(D79,Fixtures!$A$5:$A$204,Fixtures!$D$5:$D$204,""),Rules!$C$12,IF(K79=XLOOKUP(D79,Fixtures!$A$5:$A$204,Fixtures!$F$5:$F$204,""),Rules!$C$13,"")),H79)))</x:f>
      </x:c>
      <x:c r="Y79" s="38" t="str">
        <x:f>IF(D79="","",IF(W79&lt;&gt;"",W79,IF(J79="Walkover",IF(K79=XLOOKUP(D79,Fixtures!$A$5:$A$204,Fixtures!$F$5:$F$204,""),Rules!$C$12,IF(K79=XLOOKUP(D79,Fixtures!$A$5:$A$204,Fixtures!$D$5:$D$204,""),Rules!$C$13,"")),I79)))</x:f>
      </x:c>
      <x:c r="Z79" s="38" t="str">
        <x:f>IF(D79="","",IF(AND(R79="Approved Current",OR(J79="Played",J79="Walkover")),"Yes","No"))</x:f>
      </x:c>
      <x:c r="AA79" s="38" t="str">
        <x:f>IF(D79="","",IF(AND(R79="Approved Current",COUNTIFS($D$5:$D$204,D79,$R$5:$R$204,"Approved Current")&gt;1),"Multiple Approved Current",IF(AND(J79="Walkover",K79=""),"Walkover missing winner","OK")))</x:f>
      </x:c>
    </x:row>
    <x:row r="80" ht="15" hidden="0" customHeight="1">
      <x:c r="A80" s="67"/>
      <x:c r="B80" s="38"/>
      <x:c r="C80" s="38"/>
      <x:c r="D80" s="38"/>
      <x:c r="E80" s="38" t="str">
        <x:f>IFERROR(XLOOKUP(D80,Fixtures!$A$5:$A$204,Fixtures!$M$5:$M$204,""),"")</x:f>
      </x:c>
      <x:c r="F80" s="38" t="str">
        <x:f>IFERROR(XLOOKUP(D80,Fixtures!$A$5:$A$204,Fixtures!$E$5:$E$204,""),"")</x:f>
      </x:c>
      <x:c r="G80" s="38" t="str">
        <x:f>IFERROR(XLOOKUP(D80,Fixtures!$A$5:$A$204,Fixtures!$G$5:$G$204,""),"")</x:f>
      </x:c>
      <x:c r="H80" s="38"/>
      <x:c r="I80" s="38"/>
      <x:c r="J80" s="38"/>
      <x:c r="K80" s="38"/>
      <x:c r="L80" s="60"/>
      <x:c r="M80" s="38"/>
      <x:c r="N80" s="38"/>
      <x:c r="O80" s="38"/>
      <x:c r="P80" s="38"/>
      <x:c r="Q80" s="38"/>
      <x:c r="R80" s="38"/>
      <x:c r="S80" s="38" t="str">
        <x:f>IF(R80="Approved Current","Yes","No")</x:f>
        <x:v>No</x:v>
      </x:c>
      <x:c r="T80" s="38"/>
      <x:c r="U80" s="38"/>
      <x:c r="V80" s="38"/>
      <x:c r="W80" s="38"/>
      <x:c r="X80" s="38" t="str">
        <x:f>IF(D80="","",IF(V80&lt;&gt;"",V80,IF(J80="Walkover",IF(K80=XLOOKUP(D80,Fixtures!$A$5:$A$204,Fixtures!$D$5:$D$204,""),Rules!$C$12,IF(K80=XLOOKUP(D80,Fixtures!$A$5:$A$204,Fixtures!$F$5:$F$204,""),Rules!$C$13,"")),H80)))</x:f>
      </x:c>
      <x:c r="Y80" s="38" t="str">
        <x:f>IF(D80="","",IF(W80&lt;&gt;"",W80,IF(J80="Walkover",IF(K80=XLOOKUP(D80,Fixtures!$A$5:$A$204,Fixtures!$F$5:$F$204,""),Rules!$C$12,IF(K80=XLOOKUP(D80,Fixtures!$A$5:$A$204,Fixtures!$D$5:$D$204,""),Rules!$C$13,"")),I80)))</x:f>
      </x:c>
      <x:c r="Z80" s="38" t="str">
        <x:f>IF(D80="","",IF(AND(R80="Approved Current",OR(J80="Played",J80="Walkover")),"Yes","No"))</x:f>
      </x:c>
      <x:c r="AA80" s="38" t="str">
        <x:f>IF(D80="","",IF(AND(R80="Approved Current",COUNTIFS($D$5:$D$204,D80,$R$5:$R$204,"Approved Current")&gt;1),"Multiple Approved Current",IF(AND(J80="Walkover",K80=""),"Walkover missing winner","OK")))</x:f>
      </x:c>
    </x:row>
    <x:row r="81" ht="15" hidden="0" customHeight="1">
      <x:c r="A81" s="67"/>
      <x:c r="B81" s="38"/>
      <x:c r="C81" s="38"/>
      <x:c r="D81" s="38"/>
      <x:c r="E81" s="38" t="str">
        <x:f>IFERROR(XLOOKUP(D81,Fixtures!$A$5:$A$204,Fixtures!$M$5:$M$204,""),"")</x:f>
      </x:c>
      <x:c r="F81" s="38" t="str">
        <x:f>IFERROR(XLOOKUP(D81,Fixtures!$A$5:$A$204,Fixtures!$E$5:$E$204,""),"")</x:f>
      </x:c>
      <x:c r="G81" s="38" t="str">
        <x:f>IFERROR(XLOOKUP(D81,Fixtures!$A$5:$A$204,Fixtures!$G$5:$G$204,""),"")</x:f>
      </x:c>
      <x:c r="H81" s="38"/>
      <x:c r="I81" s="38"/>
      <x:c r="J81" s="38"/>
      <x:c r="K81" s="38"/>
      <x:c r="L81" s="60"/>
      <x:c r="M81" s="38"/>
      <x:c r="N81" s="38"/>
      <x:c r="O81" s="38"/>
      <x:c r="P81" s="38"/>
      <x:c r="Q81" s="38"/>
      <x:c r="R81" s="38"/>
      <x:c r="S81" s="38" t="str">
        <x:f>IF(R81="Approved Current","Yes","No")</x:f>
        <x:v>No</x:v>
      </x:c>
      <x:c r="T81" s="38"/>
      <x:c r="U81" s="38"/>
      <x:c r="V81" s="38"/>
      <x:c r="W81" s="38"/>
      <x:c r="X81" s="38" t="str">
        <x:f>IF(D81="","",IF(V81&lt;&gt;"",V81,IF(J81="Walkover",IF(K81=XLOOKUP(D81,Fixtures!$A$5:$A$204,Fixtures!$D$5:$D$204,""),Rules!$C$12,IF(K81=XLOOKUP(D81,Fixtures!$A$5:$A$204,Fixtures!$F$5:$F$204,""),Rules!$C$13,"")),H81)))</x:f>
      </x:c>
      <x:c r="Y81" s="38" t="str">
        <x:f>IF(D81="","",IF(W81&lt;&gt;"",W81,IF(J81="Walkover",IF(K81=XLOOKUP(D81,Fixtures!$A$5:$A$204,Fixtures!$F$5:$F$204,""),Rules!$C$12,IF(K81=XLOOKUP(D81,Fixtures!$A$5:$A$204,Fixtures!$D$5:$D$204,""),Rules!$C$13,"")),I81)))</x:f>
      </x:c>
      <x:c r="Z81" s="38" t="str">
        <x:f>IF(D81="","",IF(AND(R81="Approved Current",OR(J81="Played",J81="Walkover")),"Yes","No"))</x:f>
      </x:c>
      <x:c r="AA81" s="38" t="str">
        <x:f>IF(D81="","",IF(AND(R81="Approved Current",COUNTIFS($D$5:$D$204,D81,$R$5:$R$204,"Approved Current")&gt;1),"Multiple Approved Current",IF(AND(J81="Walkover",K81=""),"Walkover missing winner","OK")))</x:f>
      </x:c>
    </x:row>
    <x:row r="82" ht="15" hidden="0" customHeight="1">
      <x:c r="A82" s="67"/>
      <x:c r="B82" s="38"/>
      <x:c r="C82" s="38"/>
      <x:c r="D82" s="38"/>
      <x:c r="E82" s="38" t="str">
        <x:f>IFERROR(XLOOKUP(D82,Fixtures!$A$5:$A$204,Fixtures!$M$5:$M$204,""),"")</x:f>
      </x:c>
      <x:c r="F82" s="38" t="str">
        <x:f>IFERROR(XLOOKUP(D82,Fixtures!$A$5:$A$204,Fixtures!$E$5:$E$204,""),"")</x:f>
      </x:c>
      <x:c r="G82" s="38" t="str">
        <x:f>IFERROR(XLOOKUP(D82,Fixtures!$A$5:$A$204,Fixtures!$G$5:$G$204,""),"")</x:f>
      </x:c>
      <x:c r="H82" s="38"/>
      <x:c r="I82" s="38"/>
      <x:c r="J82" s="38"/>
      <x:c r="K82" s="38"/>
      <x:c r="L82" s="60"/>
      <x:c r="M82" s="38"/>
      <x:c r="N82" s="38"/>
      <x:c r="O82" s="38"/>
      <x:c r="P82" s="38"/>
      <x:c r="Q82" s="38"/>
      <x:c r="R82" s="38"/>
      <x:c r="S82" s="38" t="str">
        <x:f>IF(R82="Approved Current","Yes","No")</x:f>
        <x:v>No</x:v>
      </x:c>
      <x:c r="T82" s="38"/>
      <x:c r="U82" s="38"/>
      <x:c r="V82" s="38"/>
      <x:c r="W82" s="38"/>
      <x:c r="X82" s="38" t="str">
        <x:f>IF(D82="","",IF(V82&lt;&gt;"",V82,IF(J82="Walkover",IF(K82=XLOOKUP(D82,Fixtures!$A$5:$A$204,Fixtures!$D$5:$D$204,""),Rules!$C$12,IF(K82=XLOOKUP(D82,Fixtures!$A$5:$A$204,Fixtures!$F$5:$F$204,""),Rules!$C$13,"")),H82)))</x:f>
      </x:c>
      <x:c r="Y82" s="38" t="str">
        <x:f>IF(D82="","",IF(W82&lt;&gt;"",W82,IF(J82="Walkover",IF(K82=XLOOKUP(D82,Fixtures!$A$5:$A$204,Fixtures!$F$5:$F$204,""),Rules!$C$12,IF(K82=XLOOKUP(D82,Fixtures!$A$5:$A$204,Fixtures!$D$5:$D$204,""),Rules!$C$13,"")),I82)))</x:f>
      </x:c>
      <x:c r="Z82" s="38" t="str">
        <x:f>IF(D82="","",IF(AND(R82="Approved Current",OR(J82="Played",J82="Walkover")),"Yes","No"))</x:f>
      </x:c>
      <x:c r="AA82" s="38" t="str">
        <x:f>IF(D82="","",IF(AND(R82="Approved Current",COUNTIFS($D$5:$D$204,D82,$R$5:$R$204,"Approved Current")&gt;1),"Multiple Approved Current",IF(AND(J82="Walkover",K82=""),"Walkover missing winner","OK")))</x:f>
      </x:c>
    </x:row>
    <x:row r="83" ht="15" hidden="0" customHeight="1">
      <x:c r="A83" s="67"/>
      <x:c r="B83" s="38"/>
      <x:c r="C83" s="38"/>
      <x:c r="D83" s="38"/>
      <x:c r="E83" s="38" t="str">
        <x:f>IFERROR(XLOOKUP(D83,Fixtures!$A$5:$A$204,Fixtures!$M$5:$M$204,""),"")</x:f>
      </x:c>
      <x:c r="F83" s="38" t="str">
        <x:f>IFERROR(XLOOKUP(D83,Fixtures!$A$5:$A$204,Fixtures!$E$5:$E$204,""),"")</x:f>
      </x:c>
      <x:c r="G83" s="38" t="str">
        <x:f>IFERROR(XLOOKUP(D83,Fixtures!$A$5:$A$204,Fixtures!$G$5:$G$204,""),"")</x:f>
      </x:c>
      <x:c r="H83" s="38"/>
      <x:c r="I83" s="38"/>
      <x:c r="J83" s="38"/>
      <x:c r="K83" s="38"/>
      <x:c r="L83" s="60"/>
      <x:c r="M83" s="38"/>
      <x:c r="N83" s="38"/>
      <x:c r="O83" s="38"/>
      <x:c r="P83" s="38"/>
      <x:c r="Q83" s="38"/>
      <x:c r="R83" s="38"/>
      <x:c r="S83" s="38" t="str">
        <x:f>IF(R83="Approved Current","Yes","No")</x:f>
        <x:v>No</x:v>
      </x:c>
      <x:c r="T83" s="38"/>
      <x:c r="U83" s="38"/>
      <x:c r="V83" s="38"/>
      <x:c r="W83" s="38"/>
      <x:c r="X83" s="38" t="str">
        <x:f>IF(D83="","",IF(V83&lt;&gt;"",V83,IF(J83="Walkover",IF(K83=XLOOKUP(D83,Fixtures!$A$5:$A$204,Fixtures!$D$5:$D$204,""),Rules!$C$12,IF(K83=XLOOKUP(D83,Fixtures!$A$5:$A$204,Fixtures!$F$5:$F$204,""),Rules!$C$13,"")),H83)))</x:f>
      </x:c>
      <x:c r="Y83" s="38" t="str">
        <x:f>IF(D83="","",IF(W83&lt;&gt;"",W83,IF(J83="Walkover",IF(K83=XLOOKUP(D83,Fixtures!$A$5:$A$204,Fixtures!$F$5:$F$204,""),Rules!$C$12,IF(K83=XLOOKUP(D83,Fixtures!$A$5:$A$204,Fixtures!$D$5:$D$204,""),Rules!$C$13,"")),I83)))</x:f>
      </x:c>
      <x:c r="Z83" s="38" t="str">
        <x:f>IF(D83="","",IF(AND(R83="Approved Current",OR(J83="Played",J83="Walkover")),"Yes","No"))</x:f>
      </x:c>
      <x:c r="AA83" s="38" t="str">
        <x:f>IF(D83="","",IF(AND(R83="Approved Current",COUNTIFS($D$5:$D$204,D83,$R$5:$R$204,"Approved Current")&gt;1),"Multiple Approved Current",IF(AND(J83="Walkover",K83=""),"Walkover missing winner","OK")))</x:f>
      </x:c>
    </x:row>
    <x:row r="84" ht="15" hidden="0" customHeight="1">
      <x:c r="A84" s="67"/>
      <x:c r="B84" s="38"/>
      <x:c r="C84" s="38"/>
      <x:c r="D84" s="38"/>
      <x:c r="E84" s="38" t="str">
        <x:f>IFERROR(XLOOKUP(D84,Fixtures!$A$5:$A$204,Fixtures!$M$5:$M$204,""),"")</x:f>
      </x:c>
      <x:c r="F84" s="38" t="str">
        <x:f>IFERROR(XLOOKUP(D84,Fixtures!$A$5:$A$204,Fixtures!$E$5:$E$204,""),"")</x:f>
      </x:c>
      <x:c r="G84" s="38" t="str">
        <x:f>IFERROR(XLOOKUP(D84,Fixtures!$A$5:$A$204,Fixtures!$G$5:$G$204,""),"")</x:f>
      </x:c>
      <x:c r="H84" s="38"/>
      <x:c r="I84" s="38"/>
      <x:c r="J84" s="38"/>
      <x:c r="K84" s="38"/>
      <x:c r="L84" s="60"/>
      <x:c r="M84" s="38"/>
      <x:c r="N84" s="38"/>
      <x:c r="O84" s="38"/>
      <x:c r="P84" s="38"/>
      <x:c r="Q84" s="38"/>
      <x:c r="R84" s="38"/>
      <x:c r="S84" s="38" t="str">
        <x:f>IF(R84="Approved Current","Yes","No")</x:f>
        <x:v>No</x:v>
      </x:c>
      <x:c r="T84" s="38"/>
      <x:c r="U84" s="38"/>
      <x:c r="V84" s="38"/>
      <x:c r="W84" s="38"/>
      <x:c r="X84" s="38" t="str">
        <x:f>IF(D84="","",IF(V84&lt;&gt;"",V84,IF(J84="Walkover",IF(K84=XLOOKUP(D84,Fixtures!$A$5:$A$204,Fixtures!$D$5:$D$204,""),Rules!$C$12,IF(K84=XLOOKUP(D84,Fixtures!$A$5:$A$204,Fixtures!$F$5:$F$204,""),Rules!$C$13,"")),H84)))</x:f>
      </x:c>
      <x:c r="Y84" s="38" t="str">
        <x:f>IF(D84="","",IF(W84&lt;&gt;"",W84,IF(J84="Walkover",IF(K84=XLOOKUP(D84,Fixtures!$A$5:$A$204,Fixtures!$F$5:$F$204,""),Rules!$C$12,IF(K84=XLOOKUP(D84,Fixtures!$A$5:$A$204,Fixtures!$D$5:$D$204,""),Rules!$C$13,"")),I84)))</x:f>
      </x:c>
      <x:c r="Z84" s="38" t="str">
        <x:f>IF(D84="","",IF(AND(R84="Approved Current",OR(J84="Played",J84="Walkover")),"Yes","No"))</x:f>
      </x:c>
      <x:c r="AA84" s="38" t="str">
        <x:f>IF(D84="","",IF(AND(R84="Approved Current",COUNTIFS($D$5:$D$204,D84,$R$5:$R$204,"Approved Current")&gt;1),"Multiple Approved Current",IF(AND(J84="Walkover",K84=""),"Walkover missing winner","OK")))</x:f>
      </x:c>
    </x:row>
    <x:row r="85" ht="15" hidden="0" customHeight="1">
      <x:c r="A85" s="67"/>
      <x:c r="B85" s="38"/>
      <x:c r="C85" s="38"/>
      <x:c r="D85" s="38"/>
      <x:c r="E85" s="38" t="str">
        <x:f>IFERROR(XLOOKUP(D85,Fixtures!$A$5:$A$204,Fixtures!$M$5:$M$204,""),"")</x:f>
      </x:c>
      <x:c r="F85" s="38" t="str">
        <x:f>IFERROR(XLOOKUP(D85,Fixtures!$A$5:$A$204,Fixtures!$E$5:$E$204,""),"")</x:f>
      </x:c>
      <x:c r="G85" s="38" t="str">
        <x:f>IFERROR(XLOOKUP(D85,Fixtures!$A$5:$A$204,Fixtures!$G$5:$G$204,""),"")</x:f>
      </x:c>
      <x:c r="H85" s="38"/>
      <x:c r="I85" s="38"/>
      <x:c r="J85" s="38"/>
      <x:c r="K85" s="38"/>
      <x:c r="L85" s="60"/>
      <x:c r="M85" s="38"/>
      <x:c r="N85" s="38"/>
      <x:c r="O85" s="38"/>
      <x:c r="P85" s="38"/>
      <x:c r="Q85" s="38"/>
      <x:c r="R85" s="38"/>
      <x:c r="S85" s="38" t="str">
        <x:f>IF(R85="Approved Current","Yes","No")</x:f>
        <x:v>No</x:v>
      </x:c>
      <x:c r="T85" s="38"/>
      <x:c r="U85" s="38"/>
      <x:c r="V85" s="38"/>
      <x:c r="W85" s="38"/>
      <x:c r="X85" s="38" t="str">
        <x:f>IF(D85="","",IF(V85&lt;&gt;"",V85,IF(J85="Walkover",IF(K85=XLOOKUP(D85,Fixtures!$A$5:$A$204,Fixtures!$D$5:$D$204,""),Rules!$C$12,IF(K85=XLOOKUP(D85,Fixtures!$A$5:$A$204,Fixtures!$F$5:$F$204,""),Rules!$C$13,"")),H85)))</x:f>
      </x:c>
      <x:c r="Y85" s="38" t="str">
        <x:f>IF(D85="","",IF(W85&lt;&gt;"",W85,IF(J85="Walkover",IF(K85=XLOOKUP(D85,Fixtures!$A$5:$A$204,Fixtures!$F$5:$F$204,""),Rules!$C$12,IF(K85=XLOOKUP(D85,Fixtures!$A$5:$A$204,Fixtures!$D$5:$D$204,""),Rules!$C$13,"")),I85)))</x:f>
      </x:c>
      <x:c r="Z85" s="38" t="str">
        <x:f>IF(D85="","",IF(AND(R85="Approved Current",OR(J85="Played",J85="Walkover")),"Yes","No"))</x:f>
      </x:c>
      <x:c r="AA85" s="38" t="str">
        <x:f>IF(D85="","",IF(AND(R85="Approved Current",COUNTIFS($D$5:$D$204,D85,$R$5:$R$204,"Approved Current")&gt;1),"Multiple Approved Current",IF(AND(J85="Walkover",K85=""),"Walkover missing winner","OK")))</x:f>
      </x:c>
    </x:row>
    <x:row r="86" ht="15" hidden="0" customHeight="1">
      <x:c r="A86" s="67"/>
      <x:c r="B86" s="38"/>
      <x:c r="C86" s="38"/>
      <x:c r="D86" s="38"/>
      <x:c r="E86" s="38" t="str">
        <x:f>IFERROR(XLOOKUP(D86,Fixtures!$A$5:$A$204,Fixtures!$M$5:$M$204,""),"")</x:f>
      </x:c>
      <x:c r="F86" s="38" t="str">
        <x:f>IFERROR(XLOOKUP(D86,Fixtures!$A$5:$A$204,Fixtures!$E$5:$E$204,""),"")</x:f>
      </x:c>
      <x:c r="G86" s="38" t="str">
        <x:f>IFERROR(XLOOKUP(D86,Fixtures!$A$5:$A$204,Fixtures!$G$5:$G$204,""),"")</x:f>
      </x:c>
      <x:c r="H86" s="38"/>
      <x:c r="I86" s="38"/>
      <x:c r="J86" s="38"/>
      <x:c r="K86" s="38"/>
      <x:c r="L86" s="60"/>
      <x:c r="M86" s="38"/>
      <x:c r="N86" s="38"/>
      <x:c r="O86" s="38"/>
      <x:c r="P86" s="38"/>
      <x:c r="Q86" s="38"/>
      <x:c r="R86" s="38"/>
      <x:c r="S86" s="38" t="str">
        <x:f>IF(R86="Approved Current","Yes","No")</x:f>
        <x:v>No</x:v>
      </x:c>
      <x:c r="T86" s="38"/>
      <x:c r="U86" s="38"/>
      <x:c r="V86" s="38"/>
      <x:c r="W86" s="38"/>
      <x:c r="X86" s="38" t="str">
        <x:f>IF(D86="","",IF(V86&lt;&gt;"",V86,IF(J86="Walkover",IF(K86=XLOOKUP(D86,Fixtures!$A$5:$A$204,Fixtures!$D$5:$D$204,""),Rules!$C$12,IF(K86=XLOOKUP(D86,Fixtures!$A$5:$A$204,Fixtures!$F$5:$F$204,""),Rules!$C$13,"")),H86)))</x:f>
      </x:c>
      <x:c r="Y86" s="38" t="str">
        <x:f>IF(D86="","",IF(W86&lt;&gt;"",W86,IF(J86="Walkover",IF(K86=XLOOKUP(D86,Fixtures!$A$5:$A$204,Fixtures!$F$5:$F$204,""),Rules!$C$12,IF(K86=XLOOKUP(D86,Fixtures!$A$5:$A$204,Fixtures!$D$5:$D$204,""),Rules!$C$13,"")),I86)))</x:f>
      </x:c>
      <x:c r="Z86" s="38" t="str">
        <x:f>IF(D86="","",IF(AND(R86="Approved Current",OR(J86="Played",J86="Walkover")),"Yes","No"))</x:f>
      </x:c>
      <x:c r="AA86" s="38" t="str">
        <x:f>IF(D86="","",IF(AND(R86="Approved Current",COUNTIFS($D$5:$D$204,D86,$R$5:$R$204,"Approved Current")&gt;1),"Multiple Approved Current",IF(AND(J86="Walkover",K86=""),"Walkover missing winner","OK")))</x:f>
      </x:c>
    </x:row>
    <x:row r="87" ht="15" hidden="0" customHeight="1">
      <x:c r="A87" s="67"/>
      <x:c r="B87" s="38"/>
      <x:c r="C87" s="38"/>
      <x:c r="D87" s="38"/>
      <x:c r="E87" s="38" t="str">
        <x:f>IFERROR(XLOOKUP(D87,Fixtures!$A$5:$A$204,Fixtures!$M$5:$M$204,""),"")</x:f>
      </x:c>
      <x:c r="F87" s="38" t="str">
        <x:f>IFERROR(XLOOKUP(D87,Fixtures!$A$5:$A$204,Fixtures!$E$5:$E$204,""),"")</x:f>
      </x:c>
      <x:c r="G87" s="38" t="str">
        <x:f>IFERROR(XLOOKUP(D87,Fixtures!$A$5:$A$204,Fixtures!$G$5:$G$204,""),"")</x:f>
      </x:c>
      <x:c r="H87" s="38"/>
      <x:c r="I87" s="38"/>
      <x:c r="J87" s="38"/>
      <x:c r="K87" s="38"/>
      <x:c r="L87" s="60"/>
      <x:c r="M87" s="38"/>
      <x:c r="N87" s="38"/>
      <x:c r="O87" s="38"/>
      <x:c r="P87" s="38"/>
      <x:c r="Q87" s="38"/>
      <x:c r="R87" s="38"/>
      <x:c r="S87" s="38" t="str">
        <x:f>IF(R87="Approved Current","Yes","No")</x:f>
        <x:v>No</x:v>
      </x:c>
      <x:c r="T87" s="38"/>
      <x:c r="U87" s="38"/>
      <x:c r="V87" s="38"/>
      <x:c r="W87" s="38"/>
      <x:c r="X87" s="38" t="str">
        <x:f>IF(D87="","",IF(V87&lt;&gt;"",V87,IF(J87="Walkover",IF(K87=XLOOKUP(D87,Fixtures!$A$5:$A$204,Fixtures!$D$5:$D$204,""),Rules!$C$12,IF(K87=XLOOKUP(D87,Fixtures!$A$5:$A$204,Fixtures!$F$5:$F$204,""),Rules!$C$13,"")),H87)))</x:f>
      </x:c>
      <x:c r="Y87" s="38" t="str">
        <x:f>IF(D87="","",IF(W87&lt;&gt;"",W87,IF(J87="Walkover",IF(K87=XLOOKUP(D87,Fixtures!$A$5:$A$204,Fixtures!$F$5:$F$204,""),Rules!$C$12,IF(K87=XLOOKUP(D87,Fixtures!$A$5:$A$204,Fixtures!$D$5:$D$204,""),Rules!$C$13,"")),I87)))</x:f>
      </x:c>
      <x:c r="Z87" s="38" t="str">
        <x:f>IF(D87="","",IF(AND(R87="Approved Current",OR(J87="Played",J87="Walkover")),"Yes","No"))</x:f>
      </x:c>
      <x:c r="AA87" s="38" t="str">
        <x:f>IF(D87="","",IF(AND(R87="Approved Current",COUNTIFS($D$5:$D$204,D87,$R$5:$R$204,"Approved Current")&gt;1),"Multiple Approved Current",IF(AND(J87="Walkover",K87=""),"Walkover missing winner","OK")))</x:f>
      </x:c>
    </x:row>
    <x:row r="88" ht="15" hidden="0" customHeight="1">
      <x:c r="A88" s="67"/>
      <x:c r="B88" s="38"/>
      <x:c r="C88" s="38"/>
      <x:c r="D88" s="38"/>
      <x:c r="E88" s="38" t="str">
        <x:f>IFERROR(XLOOKUP(D88,Fixtures!$A$5:$A$204,Fixtures!$M$5:$M$204,""),"")</x:f>
      </x:c>
      <x:c r="F88" s="38" t="str">
        <x:f>IFERROR(XLOOKUP(D88,Fixtures!$A$5:$A$204,Fixtures!$E$5:$E$204,""),"")</x:f>
      </x:c>
      <x:c r="G88" s="38" t="str">
        <x:f>IFERROR(XLOOKUP(D88,Fixtures!$A$5:$A$204,Fixtures!$G$5:$G$204,""),"")</x:f>
      </x:c>
      <x:c r="H88" s="38"/>
      <x:c r="I88" s="38"/>
      <x:c r="J88" s="38"/>
      <x:c r="K88" s="38"/>
      <x:c r="L88" s="60"/>
      <x:c r="M88" s="38"/>
      <x:c r="N88" s="38"/>
      <x:c r="O88" s="38"/>
      <x:c r="P88" s="38"/>
      <x:c r="Q88" s="38"/>
      <x:c r="R88" s="38"/>
      <x:c r="S88" s="38" t="str">
        <x:f>IF(R88="Approved Current","Yes","No")</x:f>
        <x:v>No</x:v>
      </x:c>
      <x:c r="T88" s="38"/>
      <x:c r="U88" s="38"/>
      <x:c r="V88" s="38"/>
      <x:c r="W88" s="38"/>
      <x:c r="X88" s="38" t="str">
        <x:f>IF(D88="","",IF(V88&lt;&gt;"",V88,IF(J88="Walkover",IF(K88=XLOOKUP(D88,Fixtures!$A$5:$A$204,Fixtures!$D$5:$D$204,""),Rules!$C$12,IF(K88=XLOOKUP(D88,Fixtures!$A$5:$A$204,Fixtures!$F$5:$F$204,""),Rules!$C$13,"")),H88)))</x:f>
      </x:c>
      <x:c r="Y88" s="38" t="str">
        <x:f>IF(D88="","",IF(W88&lt;&gt;"",W88,IF(J88="Walkover",IF(K88=XLOOKUP(D88,Fixtures!$A$5:$A$204,Fixtures!$F$5:$F$204,""),Rules!$C$12,IF(K88=XLOOKUP(D88,Fixtures!$A$5:$A$204,Fixtures!$D$5:$D$204,""),Rules!$C$13,"")),I88)))</x:f>
      </x:c>
      <x:c r="Z88" s="38" t="str">
        <x:f>IF(D88="","",IF(AND(R88="Approved Current",OR(J88="Played",J88="Walkover")),"Yes","No"))</x:f>
      </x:c>
      <x:c r="AA88" s="38" t="str">
        <x:f>IF(D88="","",IF(AND(R88="Approved Current",COUNTIFS($D$5:$D$204,D88,$R$5:$R$204,"Approved Current")&gt;1),"Multiple Approved Current",IF(AND(J88="Walkover",K88=""),"Walkover missing winner","OK")))</x:f>
      </x:c>
    </x:row>
    <x:row r="89" ht="15" hidden="0" customHeight="1">
      <x:c r="A89" s="67"/>
      <x:c r="B89" s="38"/>
      <x:c r="C89" s="38"/>
      <x:c r="D89" s="38"/>
      <x:c r="E89" s="38" t="str">
        <x:f>IFERROR(XLOOKUP(D89,Fixtures!$A$5:$A$204,Fixtures!$M$5:$M$204,""),"")</x:f>
      </x:c>
      <x:c r="F89" s="38" t="str">
        <x:f>IFERROR(XLOOKUP(D89,Fixtures!$A$5:$A$204,Fixtures!$E$5:$E$204,""),"")</x:f>
      </x:c>
      <x:c r="G89" s="38" t="str">
        <x:f>IFERROR(XLOOKUP(D89,Fixtures!$A$5:$A$204,Fixtures!$G$5:$G$204,""),"")</x:f>
      </x:c>
      <x:c r="H89" s="38"/>
      <x:c r="I89" s="38"/>
      <x:c r="J89" s="38"/>
      <x:c r="K89" s="38"/>
      <x:c r="L89" s="60"/>
      <x:c r="M89" s="38"/>
      <x:c r="N89" s="38"/>
      <x:c r="O89" s="38"/>
      <x:c r="P89" s="38"/>
      <x:c r="Q89" s="38"/>
      <x:c r="R89" s="38"/>
      <x:c r="S89" s="38" t="str">
        <x:f>IF(R89="Approved Current","Yes","No")</x:f>
        <x:v>No</x:v>
      </x:c>
      <x:c r="T89" s="38"/>
      <x:c r="U89" s="38"/>
      <x:c r="V89" s="38"/>
      <x:c r="W89" s="38"/>
      <x:c r="X89" s="38" t="str">
        <x:f>IF(D89="","",IF(V89&lt;&gt;"",V89,IF(J89="Walkover",IF(K89=XLOOKUP(D89,Fixtures!$A$5:$A$204,Fixtures!$D$5:$D$204,""),Rules!$C$12,IF(K89=XLOOKUP(D89,Fixtures!$A$5:$A$204,Fixtures!$F$5:$F$204,""),Rules!$C$13,"")),H89)))</x:f>
      </x:c>
      <x:c r="Y89" s="38" t="str">
        <x:f>IF(D89="","",IF(W89&lt;&gt;"",W89,IF(J89="Walkover",IF(K89=XLOOKUP(D89,Fixtures!$A$5:$A$204,Fixtures!$F$5:$F$204,""),Rules!$C$12,IF(K89=XLOOKUP(D89,Fixtures!$A$5:$A$204,Fixtures!$D$5:$D$204,""),Rules!$C$13,"")),I89)))</x:f>
      </x:c>
      <x:c r="Z89" s="38" t="str">
        <x:f>IF(D89="","",IF(AND(R89="Approved Current",OR(J89="Played",J89="Walkover")),"Yes","No"))</x:f>
      </x:c>
      <x:c r="AA89" s="38" t="str">
        <x:f>IF(D89="","",IF(AND(R89="Approved Current",COUNTIFS($D$5:$D$204,D89,$R$5:$R$204,"Approved Current")&gt;1),"Multiple Approved Current",IF(AND(J89="Walkover",K89=""),"Walkover missing winner","OK")))</x:f>
      </x:c>
    </x:row>
    <x:row r="90" ht="15" hidden="0" customHeight="1">
      <x:c r="A90" s="67"/>
      <x:c r="B90" s="38"/>
      <x:c r="C90" s="38"/>
      <x:c r="D90" s="38"/>
      <x:c r="E90" s="38" t="str">
        <x:f>IFERROR(XLOOKUP(D90,Fixtures!$A$5:$A$204,Fixtures!$M$5:$M$204,""),"")</x:f>
      </x:c>
      <x:c r="F90" s="38" t="str">
        <x:f>IFERROR(XLOOKUP(D90,Fixtures!$A$5:$A$204,Fixtures!$E$5:$E$204,""),"")</x:f>
      </x:c>
      <x:c r="G90" s="38" t="str">
        <x:f>IFERROR(XLOOKUP(D90,Fixtures!$A$5:$A$204,Fixtures!$G$5:$G$204,""),"")</x:f>
      </x:c>
      <x:c r="H90" s="38"/>
      <x:c r="I90" s="38"/>
      <x:c r="J90" s="38"/>
      <x:c r="K90" s="38"/>
      <x:c r="L90" s="60"/>
      <x:c r="M90" s="38"/>
      <x:c r="N90" s="38"/>
      <x:c r="O90" s="38"/>
      <x:c r="P90" s="38"/>
      <x:c r="Q90" s="38"/>
      <x:c r="R90" s="38"/>
      <x:c r="S90" s="38" t="str">
        <x:f>IF(R90="Approved Current","Yes","No")</x:f>
        <x:v>No</x:v>
      </x:c>
      <x:c r="T90" s="38"/>
      <x:c r="U90" s="38"/>
      <x:c r="V90" s="38"/>
      <x:c r="W90" s="38"/>
      <x:c r="X90" s="38" t="str">
        <x:f>IF(D90="","",IF(V90&lt;&gt;"",V90,IF(J90="Walkover",IF(K90=XLOOKUP(D90,Fixtures!$A$5:$A$204,Fixtures!$D$5:$D$204,""),Rules!$C$12,IF(K90=XLOOKUP(D90,Fixtures!$A$5:$A$204,Fixtures!$F$5:$F$204,""),Rules!$C$13,"")),H90)))</x:f>
      </x:c>
      <x:c r="Y90" s="38" t="str">
        <x:f>IF(D90="","",IF(W90&lt;&gt;"",W90,IF(J90="Walkover",IF(K90=XLOOKUP(D90,Fixtures!$A$5:$A$204,Fixtures!$F$5:$F$204,""),Rules!$C$12,IF(K90=XLOOKUP(D90,Fixtures!$A$5:$A$204,Fixtures!$D$5:$D$204,""),Rules!$C$13,"")),I90)))</x:f>
      </x:c>
      <x:c r="Z90" s="38" t="str">
        <x:f>IF(D90="","",IF(AND(R90="Approved Current",OR(J90="Played",J90="Walkover")),"Yes","No"))</x:f>
      </x:c>
      <x:c r="AA90" s="38" t="str">
        <x:f>IF(D90="","",IF(AND(R90="Approved Current",COUNTIFS($D$5:$D$204,D90,$R$5:$R$204,"Approved Current")&gt;1),"Multiple Approved Current",IF(AND(J90="Walkover",K90=""),"Walkover missing winner","OK")))</x:f>
      </x:c>
    </x:row>
    <x:row r="91" ht="15" hidden="0" customHeight="1">
      <x:c r="A91" s="67"/>
      <x:c r="B91" s="38"/>
      <x:c r="C91" s="38"/>
      <x:c r="D91" s="38"/>
      <x:c r="E91" s="38" t="str">
        <x:f>IFERROR(XLOOKUP(D91,Fixtures!$A$5:$A$204,Fixtures!$M$5:$M$204,""),"")</x:f>
      </x:c>
      <x:c r="F91" s="38" t="str">
        <x:f>IFERROR(XLOOKUP(D91,Fixtures!$A$5:$A$204,Fixtures!$E$5:$E$204,""),"")</x:f>
      </x:c>
      <x:c r="G91" s="38" t="str">
        <x:f>IFERROR(XLOOKUP(D91,Fixtures!$A$5:$A$204,Fixtures!$G$5:$G$204,""),"")</x:f>
      </x:c>
      <x:c r="H91" s="38"/>
      <x:c r="I91" s="38"/>
      <x:c r="J91" s="38"/>
      <x:c r="K91" s="38"/>
      <x:c r="L91" s="60"/>
      <x:c r="M91" s="38"/>
      <x:c r="N91" s="38"/>
      <x:c r="O91" s="38"/>
      <x:c r="P91" s="38"/>
      <x:c r="Q91" s="38"/>
      <x:c r="R91" s="38"/>
      <x:c r="S91" s="38" t="str">
        <x:f>IF(R91="Approved Current","Yes","No")</x:f>
        <x:v>No</x:v>
      </x:c>
      <x:c r="T91" s="38"/>
      <x:c r="U91" s="38"/>
      <x:c r="V91" s="38"/>
      <x:c r="W91" s="38"/>
      <x:c r="X91" s="38" t="str">
        <x:f>IF(D91="","",IF(V91&lt;&gt;"",V91,IF(J91="Walkover",IF(K91=XLOOKUP(D91,Fixtures!$A$5:$A$204,Fixtures!$D$5:$D$204,""),Rules!$C$12,IF(K91=XLOOKUP(D91,Fixtures!$A$5:$A$204,Fixtures!$F$5:$F$204,""),Rules!$C$13,"")),H91)))</x:f>
      </x:c>
      <x:c r="Y91" s="38" t="str">
        <x:f>IF(D91="","",IF(W91&lt;&gt;"",W91,IF(J91="Walkover",IF(K91=XLOOKUP(D91,Fixtures!$A$5:$A$204,Fixtures!$F$5:$F$204,""),Rules!$C$12,IF(K91=XLOOKUP(D91,Fixtures!$A$5:$A$204,Fixtures!$D$5:$D$204,""),Rules!$C$13,"")),I91)))</x:f>
      </x:c>
      <x:c r="Z91" s="38" t="str">
        <x:f>IF(D91="","",IF(AND(R91="Approved Current",OR(J91="Played",J91="Walkover")),"Yes","No"))</x:f>
      </x:c>
      <x:c r="AA91" s="38" t="str">
        <x:f>IF(D91="","",IF(AND(R91="Approved Current",COUNTIFS($D$5:$D$204,D91,$R$5:$R$204,"Approved Current")&gt;1),"Multiple Approved Current",IF(AND(J91="Walkover",K91=""),"Walkover missing winner","OK")))</x:f>
      </x:c>
    </x:row>
    <x:row r="92" ht="15" hidden="0" customHeight="1">
      <x:c r="A92" s="67"/>
      <x:c r="B92" s="38"/>
      <x:c r="C92" s="38"/>
      <x:c r="D92" s="38"/>
      <x:c r="E92" s="38" t="str">
        <x:f>IFERROR(XLOOKUP(D92,Fixtures!$A$5:$A$204,Fixtures!$M$5:$M$204,""),"")</x:f>
      </x:c>
      <x:c r="F92" s="38" t="str">
        <x:f>IFERROR(XLOOKUP(D92,Fixtures!$A$5:$A$204,Fixtures!$E$5:$E$204,""),"")</x:f>
      </x:c>
      <x:c r="G92" s="38" t="str">
        <x:f>IFERROR(XLOOKUP(D92,Fixtures!$A$5:$A$204,Fixtures!$G$5:$G$204,""),"")</x:f>
      </x:c>
      <x:c r="H92" s="38"/>
      <x:c r="I92" s="38"/>
      <x:c r="J92" s="38"/>
      <x:c r="K92" s="38"/>
      <x:c r="L92" s="60"/>
      <x:c r="M92" s="38"/>
      <x:c r="N92" s="38"/>
      <x:c r="O92" s="38"/>
      <x:c r="P92" s="38"/>
      <x:c r="Q92" s="38"/>
      <x:c r="R92" s="38"/>
      <x:c r="S92" s="38" t="str">
        <x:f>IF(R92="Approved Current","Yes","No")</x:f>
        <x:v>No</x:v>
      </x:c>
      <x:c r="T92" s="38"/>
      <x:c r="U92" s="38"/>
      <x:c r="V92" s="38"/>
      <x:c r="W92" s="38"/>
      <x:c r="X92" s="38" t="str">
        <x:f>IF(D92="","",IF(V92&lt;&gt;"",V92,IF(J92="Walkover",IF(K92=XLOOKUP(D92,Fixtures!$A$5:$A$204,Fixtures!$D$5:$D$204,""),Rules!$C$12,IF(K92=XLOOKUP(D92,Fixtures!$A$5:$A$204,Fixtures!$F$5:$F$204,""),Rules!$C$13,"")),H92)))</x:f>
      </x:c>
      <x:c r="Y92" s="38" t="str">
        <x:f>IF(D92="","",IF(W92&lt;&gt;"",W92,IF(J92="Walkover",IF(K92=XLOOKUP(D92,Fixtures!$A$5:$A$204,Fixtures!$F$5:$F$204,""),Rules!$C$12,IF(K92=XLOOKUP(D92,Fixtures!$A$5:$A$204,Fixtures!$D$5:$D$204,""),Rules!$C$13,"")),I92)))</x:f>
      </x:c>
      <x:c r="Z92" s="38" t="str">
        <x:f>IF(D92="","",IF(AND(R92="Approved Current",OR(J92="Played",J92="Walkover")),"Yes","No"))</x:f>
      </x:c>
      <x:c r="AA92" s="38" t="str">
        <x:f>IF(D92="","",IF(AND(R92="Approved Current",COUNTIFS($D$5:$D$204,D92,$R$5:$R$204,"Approved Current")&gt;1),"Multiple Approved Current",IF(AND(J92="Walkover",K92=""),"Walkover missing winner","OK")))</x:f>
      </x:c>
    </x:row>
    <x:row r="93" ht="15" hidden="0" customHeight="1">
      <x:c r="A93" s="67"/>
      <x:c r="B93" s="38"/>
      <x:c r="C93" s="38"/>
      <x:c r="D93" s="38"/>
      <x:c r="E93" s="38" t="str">
        <x:f>IFERROR(XLOOKUP(D93,Fixtures!$A$5:$A$204,Fixtures!$M$5:$M$204,""),"")</x:f>
      </x:c>
      <x:c r="F93" s="38" t="str">
        <x:f>IFERROR(XLOOKUP(D93,Fixtures!$A$5:$A$204,Fixtures!$E$5:$E$204,""),"")</x:f>
      </x:c>
      <x:c r="G93" s="38" t="str">
        <x:f>IFERROR(XLOOKUP(D93,Fixtures!$A$5:$A$204,Fixtures!$G$5:$G$204,""),"")</x:f>
      </x:c>
      <x:c r="H93" s="38"/>
      <x:c r="I93" s="38"/>
      <x:c r="J93" s="38"/>
      <x:c r="K93" s="38"/>
      <x:c r="L93" s="60"/>
      <x:c r="M93" s="38"/>
      <x:c r="N93" s="38"/>
      <x:c r="O93" s="38"/>
      <x:c r="P93" s="38"/>
      <x:c r="Q93" s="38"/>
      <x:c r="R93" s="38"/>
      <x:c r="S93" s="38" t="str">
        <x:f>IF(R93="Approved Current","Yes","No")</x:f>
        <x:v>No</x:v>
      </x:c>
      <x:c r="T93" s="38"/>
      <x:c r="U93" s="38"/>
      <x:c r="V93" s="38"/>
      <x:c r="W93" s="38"/>
      <x:c r="X93" s="38" t="str">
        <x:f>IF(D93="","",IF(V93&lt;&gt;"",V93,IF(J93="Walkover",IF(K93=XLOOKUP(D93,Fixtures!$A$5:$A$204,Fixtures!$D$5:$D$204,""),Rules!$C$12,IF(K93=XLOOKUP(D93,Fixtures!$A$5:$A$204,Fixtures!$F$5:$F$204,""),Rules!$C$13,"")),H93)))</x:f>
      </x:c>
      <x:c r="Y93" s="38" t="str">
        <x:f>IF(D93="","",IF(W93&lt;&gt;"",W93,IF(J93="Walkover",IF(K93=XLOOKUP(D93,Fixtures!$A$5:$A$204,Fixtures!$F$5:$F$204,""),Rules!$C$12,IF(K93=XLOOKUP(D93,Fixtures!$A$5:$A$204,Fixtures!$D$5:$D$204,""),Rules!$C$13,"")),I93)))</x:f>
      </x:c>
      <x:c r="Z93" s="38" t="str">
        <x:f>IF(D93="","",IF(AND(R93="Approved Current",OR(J93="Played",J93="Walkover")),"Yes","No"))</x:f>
      </x:c>
      <x:c r="AA93" s="38" t="str">
        <x:f>IF(D93="","",IF(AND(R93="Approved Current",COUNTIFS($D$5:$D$204,D93,$R$5:$R$204,"Approved Current")&gt;1),"Multiple Approved Current",IF(AND(J93="Walkover",K93=""),"Walkover missing winner","OK")))</x:f>
      </x:c>
    </x:row>
    <x:row r="94" ht="15" hidden="0" customHeight="1">
      <x:c r="A94" s="67"/>
      <x:c r="B94" s="38"/>
      <x:c r="C94" s="38"/>
      <x:c r="D94" s="38"/>
      <x:c r="E94" s="38" t="str">
        <x:f>IFERROR(XLOOKUP(D94,Fixtures!$A$5:$A$204,Fixtures!$M$5:$M$204,""),"")</x:f>
      </x:c>
      <x:c r="F94" s="38" t="str">
        <x:f>IFERROR(XLOOKUP(D94,Fixtures!$A$5:$A$204,Fixtures!$E$5:$E$204,""),"")</x:f>
      </x:c>
      <x:c r="G94" s="38" t="str">
        <x:f>IFERROR(XLOOKUP(D94,Fixtures!$A$5:$A$204,Fixtures!$G$5:$G$204,""),"")</x:f>
      </x:c>
      <x:c r="H94" s="38"/>
      <x:c r="I94" s="38"/>
      <x:c r="J94" s="38"/>
      <x:c r="K94" s="38"/>
      <x:c r="L94" s="60"/>
      <x:c r="M94" s="38"/>
      <x:c r="N94" s="38"/>
      <x:c r="O94" s="38"/>
      <x:c r="P94" s="38"/>
      <x:c r="Q94" s="38"/>
      <x:c r="R94" s="38"/>
      <x:c r="S94" s="38" t="str">
        <x:f>IF(R94="Approved Current","Yes","No")</x:f>
        <x:v>No</x:v>
      </x:c>
      <x:c r="T94" s="38"/>
      <x:c r="U94" s="38"/>
      <x:c r="V94" s="38"/>
      <x:c r="W94" s="38"/>
      <x:c r="X94" s="38" t="str">
        <x:f>IF(D94="","",IF(V94&lt;&gt;"",V94,IF(J94="Walkover",IF(K94=XLOOKUP(D94,Fixtures!$A$5:$A$204,Fixtures!$D$5:$D$204,""),Rules!$C$12,IF(K94=XLOOKUP(D94,Fixtures!$A$5:$A$204,Fixtures!$F$5:$F$204,""),Rules!$C$13,"")),H94)))</x:f>
      </x:c>
      <x:c r="Y94" s="38" t="str">
        <x:f>IF(D94="","",IF(W94&lt;&gt;"",W94,IF(J94="Walkover",IF(K94=XLOOKUP(D94,Fixtures!$A$5:$A$204,Fixtures!$F$5:$F$204,""),Rules!$C$12,IF(K94=XLOOKUP(D94,Fixtures!$A$5:$A$204,Fixtures!$D$5:$D$204,""),Rules!$C$13,"")),I94)))</x:f>
      </x:c>
      <x:c r="Z94" s="38" t="str">
        <x:f>IF(D94="","",IF(AND(R94="Approved Current",OR(J94="Played",J94="Walkover")),"Yes","No"))</x:f>
      </x:c>
      <x:c r="AA94" s="38" t="str">
        <x:f>IF(D94="","",IF(AND(R94="Approved Current",COUNTIFS($D$5:$D$204,D94,$R$5:$R$204,"Approved Current")&gt;1),"Multiple Approved Current",IF(AND(J94="Walkover",K94=""),"Walkover missing winner","OK")))</x:f>
      </x:c>
    </x:row>
    <x:row r="95" ht="15" hidden="0" customHeight="1">
      <x:c r="A95" s="67"/>
      <x:c r="B95" s="38"/>
      <x:c r="C95" s="38"/>
      <x:c r="D95" s="38"/>
      <x:c r="E95" s="38" t="str">
        <x:f>IFERROR(XLOOKUP(D95,Fixtures!$A$5:$A$204,Fixtures!$M$5:$M$204,""),"")</x:f>
      </x:c>
      <x:c r="F95" s="38" t="str">
        <x:f>IFERROR(XLOOKUP(D95,Fixtures!$A$5:$A$204,Fixtures!$E$5:$E$204,""),"")</x:f>
      </x:c>
      <x:c r="G95" s="38" t="str">
        <x:f>IFERROR(XLOOKUP(D95,Fixtures!$A$5:$A$204,Fixtures!$G$5:$G$204,""),"")</x:f>
      </x:c>
      <x:c r="H95" s="38"/>
      <x:c r="I95" s="38"/>
      <x:c r="J95" s="38"/>
      <x:c r="K95" s="38"/>
      <x:c r="L95" s="60"/>
      <x:c r="M95" s="38"/>
      <x:c r="N95" s="38"/>
      <x:c r="O95" s="38"/>
      <x:c r="P95" s="38"/>
      <x:c r="Q95" s="38"/>
      <x:c r="R95" s="38"/>
      <x:c r="S95" s="38" t="str">
        <x:f>IF(R95="Approved Current","Yes","No")</x:f>
        <x:v>No</x:v>
      </x:c>
      <x:c r="T95" s="38"/>
      <x:c r="U95" s="38"/>
      <x:c r="V95" s="38"/>
      <x:c r="W95" s="38"/>
      <x:c r="X95" s="38" t="str">
        <x:f>IF(D95="","",IF(V95&lt;&gt;"",V95,IF(J95="Walkover",IF(K95=XLOOKUP(D95,Fixtures!$A$5:$A$204,Fixtures!$D$5:$D$204,""),Rules!$C$12,IF(K95=XLOOKUP(D95,Fixtures!$A$5:$A$204,Fixtures!$F$5:$F$204,""),Rules!$C$13,"")),H95)))</x:f>
      </x:c>
      <x:c r="Y95" s="38" t="str">
        <x:f>IF(D95="","",IF(W95&lt;&gt;"",W95,IF(J95="Walkover",IF(K95=XLOOKUP(D95,Fixtures!$A$5:$A$204,Fixtures!$F$5:$F$204,""),Rules!$C$12,IF(K95=XLOOKUP(D95,Fixtures!$A$5:$A$204,Fixtures!$D$5:$D$204,""),Rules!$C$13,"")),I95)))</x:f>
      </x:c>
      <x:c r="Z95" s="38" t="str">
        <x:f>IF(D95="","",IF(AND(R95="Approved Current",OR(J95="Played",J95="Walkover")),"Yes","No"))</x:f>
      </x:c>
      <x:c r="AA95" s="38" t="str">
        <x:f>IF(D95="","",IF(AND(R95="Approved Current",COUNTIFS($D$5:$D$204,D95,$R$5:$R$204,"Approved Current")&gt;1),"Multiple Approved Current",IF(AND(J95="Walkover",K95=""),"Walkover missing winner","OK")))</x:f>
      </x:c>
    </x:row>
    <x:row r="96" ht="15" hidden="0" customHeight="1">
      <x:c r="A96" s="67"/>
      <x:c r="B96" s="38"/>
      <x:c r="C96" s="38"/>
      <x:c r="D96" s="38"/>
      <x:c r="E96" s="38" t="str">
        <x:f>IFERROR(XLOOKUP(D96,Fixtures!$A$5:$A$204,Fixtures!$M$5:$M$204,""),"")</x:f>
      </x:c>
      <x:c r="F96" s="38" t="str">
        <x:f>IFERROR(XLOOKUP(D96,Fixtures!$A$5:$A$204,Fixtures!$E$5:$E$204,""),"")</x:f>
      </x:c>
      <x:c r="G96" s="38" t="str">
        <x:f>IFERROR(XLOOKUP(D96,Fixtures!$A$5:$A$204,Fixtures!$G$5:$G$204,""),"")</x:f>
      </x:c>
      <x:c r="H96" s="38"/>
      <x:c r="I96" s="38"/>
      <x:c r="J96" s="38"/>
      <x:c r="K96" s="38"/>
      <x:c r="L96" s="60"/>
      <x:c r="M96" s="38"/>
      <x:c r="N96" s="38"/>
      <x:c r="O96" s="38"/>
      <x:c r="P96" s="38"/>
      <x:c r="Q96" s="38"/>
      <x:c r="R96" s="38"/>
      <x:c r="S96" s="38" t="str">
        <x:f>IF(R96="Approved Current","Yes","No")</x:f>
        <x:v>No</x:v>
      </x:c>
      <x:c r="T96" s="38"/>
      <x:c r="U96" s="38"/>
      <x:c r="V96" s="38"/>
      <x:c r="W96" s="38"/>
      <x:c r="X96" s="38" t="str">
        <x:f>IF(D96="","",IF(V96&lt;&gt;"",V96,IF(J96="Walkover",IF(K96=XLOOKUP(D96,Fixtures!$A$5:$A$204,Fixtures!$D$5:$D$204,""),Rules!$C$12,IF(K96=XLOOKUP(D96,Fixtures!$A$5:$A$204,Fixtures!$F$5:$F$204,""),Rules!$C$13,"")),H96)))</x:f>
      </x:c>
      <x:c r="Y96" s="38" t="str">
        <x:f>IF(D96="","",IF(W96&lt;&gt;"",W96,IF(J96="Walkover",IF(K96=XLOOKUP(D96,Fixtures!$A$5:$A$204,Fixtures!$F$5:$F$204,""),Rules!$C$12,IF(K96=XLOOKUP(D96,Fixtures!$A$5:$A$204,Fixtures!$D$5:$D$204,""),Rules!$C$13,"")),I96)))</x:f>
      </x:c>
      <x:c r="Z96" s="38" t="str">
        <x:f>IF(D96="","",IF(AND(R96="Approved Current",OR(J96="Played",J96="Walkover")),"Yes","No"))</x:f>
      </x:c>
      <x:c r="AA96" s="38" t="str">
        <x:f>IF(D96="","",IF(AND(R96="Approved Current",COUNTIFS($D$5:$D$204,D96,$R$5:$R$204,"Approved Current")&gt;1),"Multiple Approved Current",IF(AND(J96="Walkover",K96=""),"Walkover missing winner","OK")))</x:f>
      </x:c>
    </x:row>
    <x:row r="97" ht="15" hidden="0" customHeight="1">
      <x:c r="A97" s="67"/>
      <x:c r="B97" s="38"/>
      <x:c r="C97" s="38"/>
      <x:c r="D97" s="38"/>
      <x:c r="E97" s="38" t="str">
        <x:f>IFERROR(XLOOKUP(D97,Fixtures!$A$5:$A$204,Fixtures!$M$5:$M$204,""),"")</x:f>
      </x:c>
      <x:c r="F97" s="38" t="str">
        <x:f>IFERROR(XLOOKUP(D97,Fixtures!$A$5:$A$204,Fixtures!$E$5:$E$204,""),"")</x:f>
      </x:c>
      <x:c r="G97" s="38" t="str">
        <x:f>IFERROR(XLOOKUP(D97,Fixtures!$A$5:$A$204,Fixtures!$G$5:$G$204,""),"")</x:f>
      </x:c>
      <x:c r="H97" s="38"/>
      <x:c r="I97" s="38"/>
      <x:c r="J97" s="38"/>
      <x:c r="K97" s="38"/>
      <x:c r="L97" s="60"/>
      <x:c r="M97" s="38"/>
      <x:c r="N97" s="38"/>
      <x:c r="O97" s="38"/>
      <x:c r="P97" s="38"/>
      <x:c r="Q97" s="38"/>
      <x:c r="R97" s="38"/>
      <x:c r="S97" s="38" t="str">
        <x:f>IF(R97="Approved Current","Yes","No")</x:f>
        <x:v>No</x:v>
      </x:c>
      <x:c r="T97" s="38"/>
      <x:c r="U97" s="38"/>
      <x:c r="V97" s="38"/>
      <x:c r="W97" s="38"/>
      <x:c r="X97" s="38" t="str">
        <x:f>IF(D97="","",IF(V97&lt;&gt;"",V97,IF(J97="Walkover",IF(K97=XLOOKUP(D97,Fixtures!$A$5:$A$204,Fixtures!$D$5:$D$204,""),Rules!$C$12,IF(K97=XLOOKUP(D97,Fixtures!$A$5:$A$204,Fixtures!$F$5:$F$204,""),Rules!$C$13,"")),H97)))</x:f>
      </x:c>
      <x:c r="Y97" s="38" t="str">
        <x:f>IF(D97="","",IF(W97&lt;&gt;"",W97,IF(J97="Walkover",IF(K97=XLOOKUP(D97,Fixtures!$A$5:$A$204,Fixtures!$F$5:$F$204,""),Rules!$C$12,IF(K97=XLOOKUP(D97,Fixtures!$A$5:$A$204,Fixtures!$D$5:$D$204,""),Rules!$C$13,"")),I97)))</x:f>
      </x:c>
      <x:c r="Z97" s="38" t="str">
        <x:f>IF(D97="","",IF(AND(R97="Approved Current",OR(J97="Played",J97="Walkover")),"Yes","No"))</x:f>
      </x:c>
      <x:c r="AA97" s="38" t="str">
        <x:f>IF(D97="","",IF(AND(R97="Approved Current",COUNTIFS($D$5:$D$204,D97,$R$5:$R$204,"Approved Current")&gt;1),"Multiple Approved Current",IF(AND(J97="Walkover",K97=""),"Walkover missing winner","OK")))</x:f>
      </x:c>
    </x:row>
    <x:row r="98" ht="15" hidden="0" customHeight="1">
      <x:c r="A98" s="67"/>
      <x:c r="B98" s="38"/>
      <x:c r="C98" s="38"/>
      <x:c r="D98" s="38"/>
      <x:c r="E98" s="38" t="str">
        <x:f>IFERROR(XLOOKUP(D98,Fixtures!$A$5:$A$204,Fixtures!$M$5:$M$204,""),"")</x:f>
      </x:c>
      <x:c r="F98" s="38" t="str">
        <x:f>IFERROR(XLOOKUP(D98,Fixtures!$A$5:$A$204,Fixtures!$E$5:$E$204,""),"")</x:f>
      </x:c>
      <x:c r="G98" s="38" t="str">
        <x:f>IFERROR(XLOOKUP(D98,Fixtures!$A$5:$A$204,Fixtures!$G$5:$G$204,""),"")</x:f>
      </x:c>
      <x:c r="H98" s="38"/>
      <x:c r="I98" s="38"/>
      <x:c r="J98" s="38"/>
      <x:c r="K98" s="38"/>
      <x:c r="L98" s="60"/>
      <x:c r="M98" s="38"/>
      <x:c r="N98" s="38"/>
      <x:c r="O98" s="38"/>
      <x:c r="P98" s="38"/>
      <x:c r="Q98" s="38"/>
      <x:c r="R98" s="38"/>
      <x:c r="S98" s="38" t="str">
        <x:f>IF(R98="Approved Current","Yes","No")</x:f>
        <x:v>No</x:v>
      </x:c>
      <x:c r="T98" s="38"/>
      <x:c r="U98" s="38"/>
      <x:c r="V98" s="38"/>
      <x:c r="W98" s="38"/>
      <x:c r="X98" s="38" t="str">
        <x:f>IF(D98="","",IF(V98&lt;&gt;"",V98,IF(J98="Walkover",IF(K98=XLOOKUP(D98,Fixtures!$A$5:$A$204,Fixtures!$D$5:$D$204,""),Rules!$C$12,IF(K98=XLOOKUP(D98,Fixtures!$A$5:$A$204,Fixtures!$F$5:$F$204,""),Rules!$C$13,"")),H98)))</x:f>
      </x:c>
      <x:c r="Y98" s="38" t="str">
        <x:f>IF(D98="","",IF(W98&lt;&gt;"",W98,IF(J98="Walkover",IF(K98=XLOOKUP(D98,Fixtures!$A$5:$A$204,Fixtures!$F$5:$F$204,""),Rules!$C$12,IF(K98=XLOOKUP(D98,Fixtures!$A$5:$A$204,Fixtures!$D$5:$D$204,""),Rules!$C$13,"")),I98)))</x:f>
      </x:c>
      <x:c r="Z98" s="38" t="str">
        <x:f>IF(D98="","",IF(AND(R98="Approved Current",OR(J98="Played",J98="Walkover")),"Yes","No"))</x:f>
      </x:c>
      <x:c r="AA98" s="38" t="str">
        <x:f>IF(D98="","",IF(AND(R98="Approved Current",COUNTIFS($D$5:$D$204,D98,$R$5:$R$204,"Approved Current")&gt;1),"Multiple Approved Current",IF(AND(J98="Walkover",K98=""),"Walkover missing winner","OK")))</x:f>
      </x:c>
    </x:row>
    <x:row r="99" ht="15" hidden="0" customHeight="1">
      <x:c r="A99" s="67"/>
      <x:c r="B99" s="38"/>
      <x:c r="C99" s="38"/>
      <x:c r="D99" s="38"/>
      <x:c r="E99" s="38" t="str">
        <x:f>IFERROR(XLOOKUP(D99,Fixtures!$A$5:$A$204,Fixtures!$M$5:$M$204,""),"")</x:f>
      </x:c>
      <x:c r="F99" s="38" t="str">
        <x:f>IFERROR(XLOOKUP(D99,Fixtures!$A$5:$A$204,Fixtures!$E$5:$E$204,""),"")</x:f>
      </x:c>
      <x:c r="G99" s="38" t="str">
        <x:f>IFERROR(XLOOKUP(D99,Fixtures!$A$5:$A$204,Fixtures!$G$5:$G$204,""),"")</x:f>
      </x:c>
      <x:c r="H99" s="38"/>
      <x:c r="I99" s="38"/>
      <x:c r="J99" s="38"/>
      <x:c r="K99" s="38"/>
      <x:c r="L99" s="60"/>
      <x:c r="M99" s="38"/>
      <x:c r="N99" s="38"/>
      <x:c r="O99" s="38"/>
      <x:c r="P99" s="38"/>
      <x:c r="Q99" s="38"/>
      <x:c r="R99" s="38"/>
      <x:c r="S99" s="38" t="str">
        <x:f>IF(R99="Approved Current","Yes","No")</x:f>
        <x:v>No</x:v>
      </x:c>
      <x:c r="T99" s="38"/>
      <x:c r="U99" s="38"/>
      <x:c r="V99" s="38"/>
      <x:c r="W99" s="38"/>
      <x:c r="X99" s="38" t="str">
        <x:f>IF(D99="","",IF(V99&lt;&gt;"",V99,IF(J99="Walkover",IF(K99=XLOOKUP(D99,Fixtures!$A$5:$A$204,Fixtures!$D$5:$D$204,""),Rules!$C$12,IF(K99=XLOOKUP(D99,Fixtures!$A$5:$A$204,Fixtures!$F$5:$F$204,""),Rules!$C$13,"")),H99)))</x:f>
      </x:c>
      <x:c r="Y99" s="38" t="str">
        <x:f>IF(D99="","",IF(W99&lt;&gt;"",W99,IF(J99="Walkover",IF(K99=XLOOKUP(D99,Fixtures!$A$5:$A$204,Fixtures!$F$5:$F$204,""),Rules!$C$12,IF(K99=XLOOKUP(D99,Fixtures!$A$5:$A$204,Fixtures!$D$5:$D$204,""),Rules!$C$13,"")),I99)))</x:f>
      </x:c>
      <x:c r="Z99" s="38" t="str">
        <x:f>IF(D99="","",IF(AND(R99="Approved Current",OR(J99="Played",J99="Walkover")),"Yes","No"))</x:f>
      </x:c>
      <x:c r="AA99" s="38" t="str">
        <x:f>IF(D99="","",IF(AND(R99="Approved Current",COUNTIFS($D$5:$D$204,D99,$R$5:$R$204,"Approved Current")&gt;1),"Multiple Approved Current",IF(AND(J99="Walkover",K99=""),"Walkover missing winner","OK")))</x:f>
      </x:c>
    </x:row>
    <x:row r="100" ht="15" hidden="0" customHeight="1">
      <x:c r="A100" s="67"/>
      <x:c r="B100" s="38"/>
      <x:c r="C100" s="38"/>
      <x:c r="D100" s="38"/>
      <x:c r="E100" s="38" t="str">
        <x:f>IFERROR(XLOOKUP(D100,Fixtures!$A$5:$A$204,Fixtures!$M$5:$M$204,""),"")</x:f>
      </x:c>
      <x:c r="F100" s="38" t="str">
        <x:f>IFERROR(XLOOKUP(D100,Fixtures!$A$5:$A$204,Fixtures!$E$5:$E$204,""),"")</x:f>
      </x:c>
      <x:c r="G100" s="38" t="str">
        <x:f>IFERROR(XLOOKUP(D100,Fixtures!$A$5:$A$204,Fixtures!$G$5:$G$204,""),"")</x:f>
      </x:c>
      <x:c r="H100" s="38"/>
      <x:c r="I100" s="38"/>
      <x:c r="J100" s="38"/>
      <x:c r="K100" s="38"/>
      <x:c r="L100" s="60"/>
      <x:c r="M100" s="38"/>
      <x:c r="N100" s="38"/>
      <x:c r="O100" s="38"/>
      <x:c r="P100" s="38"/>
      <x:c r="Q100" s="38"/>
      <x:c r="R100" s="38"/>
      <x:c r="S100" s="38" t="str">
        <x:f>IF(R100="Approved Current","Yes","No")</x:f>
        <x:v>No</x:v>
      </x:c>
      <x:c r="T100" s="38"/>
      <x:c r="U100" s="38"/>
      <x:c r="V100" s="38"/>
      <x:c r="W100" s="38"/>
      <x:c r="X100" s="38" t="str">
        <x:f>IF(D100="","",IF(V100&lt;&gt;"",V100,IF(J100="Walkover",IF(K100=XLOOKUP(D100,Fixtures!$A$5:$A$204,Fixtures!$D$5:$D$204,""),Rules!$C$12,IF(K100=XLOOKUP(D100,Fixtures!$A$5:$A$204,Fixtures!$F$5:$F$204,""),Rules!$C$13,"")),H100)))</x:f>
      </x:c>
      <x:c r="Y100" s="38" t="str">
        <x:f>IF(D100="","",IF(W100&lt;&gt;"",W100,IF(J100="Walkover",IF(K100=XLOOKUP(D100,Fixtures!$A$5:$A$204,Fixtures!$F$5:$F$204,""),Rules!$C$12,IF(K100=XLOOKUP(D100,Fixtures!$A$5:$A$204,Fixtures!$D$5:$D$204,""),Rules!$C$13,"")),I100)))</x:f>
      </x:c>
      <x:c r="Z100" s="38" t="str">
        <x:f>IF(D100="","",IF(AND(R100="Approved Current",OR(J100="Played",J100="Walkover")),"Yes","No"))</x:f>
      </x:c>
      <x:c r="AA100" s="38" t="str">
        <x:f>IF(D100="","",IF(AND(R100="Approved Current",COUNTIFS($D$5:$D$204,D100,$R$5:$R$204,"Approved Current")&gt;1),"Multiple Approved Current",IF(AND(J100="Walkover",K100=""),"Walkover missing winner","OK")))</x:f>
      </x:c>
    </x:row>
    <x:row r="101" ht="15" hidden="0" customHeight="1">
      <x:c r="A101" s="67"/>
      <x:c r="B101" s="38"/>
      <x:c r="C101" s="38"/>
      <x:c r="D101" s="38"/>
      <x:c r="E101" s="38" t="str">
        <x:f>IFERROR(XLOOKUP(D101,Fixtures!$A$5:$A$204,Fixtures!$M$5:$M$204,""),"")</x:f>
      </x:c>
      <x:c r="F101" s="38" t="str">
        <x:f>IFERROR(XLOOKUP(D101,Fixtures!$A$5:$A$204,Fixtures!$E$5:$E$204,""),"")</x:f>
      </x:c>
      <x:c r="G101" s="38" t="str">
        <x:f>IFERROR(XLOOKUP(D101,Fixtures!$A$5:$A$204,Fixtures!$G$5:$G$204,""),"")</x:f>
      </x:c>
      <x:c r="H101" s="38"/>
      <x:c r="I101" s="38"/>
      <x:c r="J101" s="38"/>
      <x:c r="K101" s="38"/>
      <x:c r="L101" s="60"/>
      <x:c r="M101" s="38"/>
      <x:c r="N101" s="38"/>
      <x:c r="O101" s="38"/>
      <x:c r="P101" s="38"/>
      <x:c r="Q101" s="38"/>
      <x:c r="R101" s="38"/>
      <x:c r="S101" s="38" t="str">
        <x:f>IF(R101="Approved Current","Yes","No")</x:f>
        <x:v>No</x:v>
      </x:c>
      <x:c r="T101" s="38"/>
      <x:c r="U101" s="38"/>
      <x:c r="V101" s="38"/>
      <x:c r="W101" s="38"/>
      <x:c r="X101" s="38" t="str">
        <x:f>IF(D101="","",IF(V101&lt;&gt;"",V101,IF(J101="Walkover",IF(K101=XLOOKUP(D101,Fixtures!$A$5:$A$204,Fixtures!$D$5:$D$204,""),Rules!$C$12,IF(K101=XLOOKUP(D101,Fixtures!$A$5:$A$204,Fixtures!$F$5:$F$204,""),Rules!$C$13,"")),H101)))</x:f>
      </x:c>
      <x:c r="Y101" s="38" t="str">
        <x:f>IF(D101="","",IF(W101&lt;&gt;"",W101,IF(J101="Walkover",IF(K101=XLOOKUP(D101,Fixtures!$A$5:$A$204,Fixtures!$F$5:$F$204,""),Rules!$C$12,IF(K101=XLOOKUP(D101,Fixtures!$A$5:$A$204,Fixtures!$D$5:$D$204,""),Rules!$C$13,"")),I101)))</x:f>
      </x:c>
      <x:c r="Z101" s="38" t="str">
        <x:f>IF(D101="","",IF(AND(R101="Approved Current",OR(J101="Played",J101="Walkover")),"Yes","No"))</x:f>
      </x:c>
      <x:c r="AA101" s="38" t="str">
        <x:f>IF(D101="","",IF(AND(R101="Approved Current",COUNTIFS($D$5:$D$204,D101,$R$5:$R$204,"Approved Current")&gt;1),"Multiple Approved Current",IF(AND(J101="Walkover",K101=""),"Walkover missing winner","OK")))</x:f>
      </x:c>
    </x:row>
    <x:row r="102" ht="15" hidden="0" customHeight="1">
      <x:c r="A102" s="67"/>
      <x:c r="B102" s="38"/>
      <x:c r="C102" s="38"/>
      <x:c r="D102" s="38"/>
      <x:c r="E102" s="38" t="str">
        <x:f>IFERROR(XLOOKUP(D102,Fixtures!$A$5:$A$204,Fixtures!$M$5:$M$204,""),"")</x:f>
      </x:c>
      <x:c r="F102" s="38" t="str">
        <x:f>IFERROR(XLOOKUP(D102,Fixtures!$A$5:$A$204,Fixtures!$E$5:$E$204,""),"")</x:f>
      </x:c>
      <x:c r="G102" s="38" t="str">
        <x:f>IFERROR(XLOOKUP(D102,Fixtures!$A$5:$A$204,Fixtures!$G$5:$G$204,""),"")</x:f>
      </x:c>
      <x:c r="H102" s="38"/>
      <x:c r="I102" s="38"/>
      <x:c r="J102" s="38"/>
      <x:c r="K102" s="38"/>
      <x:c r="L102" s="60"/>
      <x:c r="M102" s="38"/>
      <x:c r="N102" s="38"/>
      <x:c r="O102" s="38"/>
      <x:c r="P102" s="38"/>
      <x:c r="Q102" s="38"/>
      <x:c r="R102" s="38"/>
      <x:c r="S102" s="38" t="str">
        <x:f>IF(R102="Approved Current","Yes","No")</x:f>
        <x:v>No</x:v>
      </x:c>
      <x:c r="T102" s="38"/>
      <x:c r="U102" s="38"/>
      <x:c r="V102" s="38"/>
      <x:c r="W102" s="38"/>
      <x:c r="X102" s="38" t="str">
        <x:f>IF(D102="","",IF(V102&lt;&gt;"",V102,IF(J102="Walkover",IF(K102=XLOOKUP(D102,Fixtures!$A$5:$A$204,Fixtures!$D$5:$D$204,""),Rules!$C$12,IF(K102=XLOOKUP(D102,Fixtures!$A$5:$A$204,Fixtures!$F$5:$F$204,""),Rules!$C$13,"")),H102)))</x:f>
      </x:c>
      <x:c r="Y102" s="38" t="str">
        <x:f>IF(D102="","",IF(W102&lt;&gt;"",W102,IF(J102="Walkover",IF(K102=XLOOKUP(D102,Fixtures!$A$5:$A$204,Fixtures!$F$5:$F$204,""),Rules!$C$12,IF(K102=XLOOKUP(D102,Fixtures!$A$5:$A$204,Fixtures!$D$5:$D$204,""),Rules!$C$13,"")),I102)))</x:f>
      </x:c>
      <x:c r="Z102" s="38" t="str">
        <x:f>IF(D102="","",IF(AND(R102="Approved Current",OR(J102="Played",J102="Walkover")),"Yes","No"))</x:f>
      </x:c>
      <x:c r="AA102" s="38" t="str">
        <x:f>IF(D102="","",IF(AND(R102="Approved Current",COUNTIFS($D$5:$D$204,D102,$R$5:$R$204,"Approved Current")&gt;1),"Multiple Approved Current",IF(AND(J102="Walkover",K102=""),"Walkover missing winner","OK")))</x:f>
      </x:c>
    </x:row>
    <x:row r="103" ht="15" hidden="0" customHeight="1">
      <x:c r="A103" s="67"/>
      <x:c r="B103" s="38"/>
      <x:c r="C103" s="38"/>
      <x:c r="D103" s="38"/>
      <x:c r="E103" s="38" t="str">
        <x:f>IFERROR(XLOOKUP(D103,Fixtures!$A$5:$A$204,Fixtures!$M$5:$M$204,""),"")</x:f>
      </x:c>
      <x:c r="F103" s="38" t="str">
        <x:f>IFERROR(XLOOKUP(D103,Fixtures!$A$5:$A$204,Fixtures!$E$5:$E$204,""),"")</x:f>
      </x:c>
      <x:c r="G103" s="38" t="str">
        <x:f>IFERROR(XLOOKUP(D103,Fixtures!$A$5:$A$204,Fixtures!$G$5:$G$204,""),"")</x:f>
      </x:c>
      <x:c r="H103" s="38"/>
      <x:c r="I103" s="38"/>
      <x:c r="J103" s="38"/>
      <x:c r="K103" s="38"/>
      <x:c r="L103" s="60"/>
      <x:c r="M103" s="38"/>
      <x:c r="N103" s="38"/>
      <x:c r="O103" s="38"/>
      <x:c r="P103" s="38"/>
      <x:c r="Q103" s="38"/>
      <x:c r="R103" s="38"/>
      <x:c r="S103" s="38" t="str">
        <x:f>IF(R103="Approved Current","Yes","No")</x:f>
        <x:v>No</x:v>
      </x:c>
      <x:c r="T103" s="38"/>
      <x:c r="U103" s="38"/>
      <x:c r="V103" s="38"/>
      <x:c r="W103" s="38"/>
      <x:c r="X103" s="38" t="str">
        <x:f>IF(D103="","",IF(V103&lt;&gt;"",V103,IF(J103="Walkover",IF(K103=XLOOKUP(D103,Fixtures!$A$5:$A$204,Fixtures!$D$5:$D$204,""),Rules!$C$12,IF(K103=XLOOKUP(D103,Fixtures!$A$5:$A$204,Fixtures!$F$5:$F$204,""),Rules!$C$13,"")),H103)))</x:f>
      </x:c>
      <x:c r="Y103" s="38" t="str">
        <x:f>IF(D103="","",IF(W103&lt;&gt;"",W103,IF(J103="Walkover",IF(K103=XLOOKUP(D103,Fixtures!$A$5:$A$204,Fixtures!$F$5:$F$204,""),Rules!$C$12,IF(K103=XLOOKUP(D103,Fixtures!$A$5:$A$204,Fixtures!$D$5:$D$204,""),Rules!$C$13,"")),I103)))</x:f>
      </x:c>
      <x:c r="Z103" s="38" t="str">
        <x:f>IF(D103="","",IF(AND(R103="Approved Current",OR(J103="Played",J103="Walkover")),"Yes","No"))</x:f>
      </x:c>
      <x:c r="AA103" s="38" t="str">
        <x:f>IF(D103="","",IF(AND(R103="Approved Current",COUNTIFS($D$5:$D$204,D103,$R$5:$R$204,"Approved Current")&gt;1),"Multiple Approved Current",IF(AND(J103="Walkover",K103=""),"Walkover missing winner","OK")))</x:f>
      </x:c>
    </x:row>
    <x:row r="104" ht="15" hidden="0" customHeight="1">
      <x:c r="A104" s="67"/>
      <x:c r="B104" s="38"/>
      <x:c r="C104" s="38"/>
      <x:c r="D104" s="38"/>
      <x:c r="E104" s="38" t="str">
        <x:f>IFERROR(XLOOKUP(D104,Fixtures!$A$5:$A$204,Fixtures!$M$5:$M$204,""),"")</x:f>
      </x:c>
      <x:c r="F104" s="38" t="str">
        <x:f>IFERROR(XLOOKUP(D104,Fixtures!$A$5:$A$204,Fixtures!$E$5:$E$204,""),"")</x:f>
      </x:c>
      <x:c r="G104" s="38" t="str">
        <x:f>IFERROR(XLOOKUP(D104,Fixtures!$A$5:$A$204,Fixtures!$G$5:$G$204,""),"")</x:f>
      </x:c>
      <x:c r="H104" s="38"/>
      <x:c r="I104" s="38"/>
      <x:c r="J104" s="38"/>
      <x:c r="K104" s="38"/>
      <x:c r="L104" s="60"/>
      <x:c r="M104" s="38"/>
      <x:c r="N104" s="38"/>
      <x:c r="O104" s="38"/>
      <x:c r="P104" s="38"/>
      <x:c r="Q104" s="38"/>
      <x:c r="R104" s="38"/>
      <x:c r="S104" s="38" t="str">
        <x:f>IF(R104="Approved Current","Yes","No")</x:f>
        <x:v>No</x:v>
      </x:c>
      <x:c r="T104" s="38"/>
      <x:c r="U104" s="38"/>
      <x:c r="V104" s="38"/>
      <x:c r="W104" s="38"/>
      <x:c r="X104" s="38" t="str">
        <x:f>IF(D104="","",IF(V104&lt;&gt;"",V104,IF(J104="Walkover",IF(K104=XLOOKUP(D104,Fixtures!$A$5:$A$204,Fixtures!$D$5:$D$204,""),Rules!$C$12,IF(K104=XLOOKUP(D104,Fixtures!$A$5:$A$204,Fixtures!$F$5:$F$204,""),Rules!$C$13,"")),H104)))</x:f>
      </x:c>
      <x:c r="Y104" s="38" t="str">
        <x:f>IF(D104="","",IF(W104&lt;&gt;"",W104,IF(J104="Walkover",IF(K104=XLOOKUP(D104,Fixtures!$A$5:$A$204,Fixtures!$F$5:$F$204,""),Rules!$C$12,IF(K104=XLOOKUP(D104,Fixtures!$A$5:$A$204,Fixtures!$D$5:$D$204,""),Rules!$C$13,"")),I104)))</x:f>
      </x:c>
      <x:c r="Z104" s="38" t="str">
        <x:f>IF(D104="","",IF(AND(R104="Approved Current",OR(J104="Played",J104="Walkover")),"Yes","No"))</x:f>
      </x:c>
      <x:c r="AA104" s="38" t="str">
        <x:f>IF(D104="","",IF(AND(R104="Approved Current",COUNTIFS($D$5:$D$204,D104,$R$5:$R$204,"Approved Current")&gt;1),"Multiple Approved Current",IF(AND(J104="Walkover",K104=""),"Walkover missing winner","OK")))</x:f>
      </x:c>
    </x:row>
    <x:row r="105" ht="15" hidden="0" customHeight="1">
      <x:c r="A105" s="67"/>
      <x:c r="B105" s="38"/>
      <x:c r="C105" s="38"/>
      <x:c r="D105" s="38"/>
      <x:c r="E105" s="38" t="str">
        <x:f>IFERROR(XLOOKUP(D105,Fixtures!$A$5:$A$204,Fixtures!$M$5:$M$204,""),"")</x:f>
      </x:c>
      <x:c r="F105" s="38" t="str">
        <x:f>IFERROR(XLOOKUP(D105,Fixtures!$A$5:$A$204,Fixtures!$E$5:$E$204,""),"")</x:f>
      </x:c>
      <x:c r="G105" s="38" t="str">
        <x:f>IFERROR(XLOOKUP(D105,Fixtures!$A$5:$A$204,Fixtures!$G$5:$G$204,""),"")</x:f>
      </x:c>
      <x:c r="H105" s="38"/>
      <x:c r="I105" s="38"/>
      <x:c r="J105" s="38"/>
      <x:c r="K105" s="38"/>
      <x:c r="L105" s="60"/>
      <x:c r="M105" s="38"/>
      <x:c r="N105" s="38"/>
      <x:c r="O105" s="38"/>
      <x:c r="P105" s="38"/>
      <x:c r="Q105" s="38"/>
      <x:c r="R105" s="38"/>
      <x:c r="S105" s="38" t="str">
        <x:f>IF(R105="Approved Current","Yes","No")</x:f>
        <x:v>No</x:v>
      </x:c>
      <x:c r="T105" s="38"/>
      <x:c r="U105" s="38"/>
      <x:c r="V105" s="38"/>
      <x:c r="W105" s="38"/>
      <x:c r="X105" s="38" t="str">
        <x:f>IF(D105="","",IF(V105&lt;&gt;"",V105,IF(J105="Walkover",IF(K105=XLOOKUP(D105,Fixtures!$A$5:$A$204,Fixtures!$D$5:$D$204,""),Rules!$C$12,IF(K105=XLOOKUP(D105,Fixtures!$A$5:$A$204,Fixtures!$F$5:$F$204,""),Rules!$C$13,"")),H105)))</x:f>
      </x:c>
      <x:c r="Y105" s="38" t="str">
        <x:f>IF(D105="","",IF(W105&lt;&gt;"",W105,IF(J105="Walkover",IF(K105=XLOOKUP(D105,Fixtures!$A$5:$A$204,Fixtures!$F$5:$F$204,""),Rules!$C$12,IF(K105=XLOOKUP(D105,Fixtures!$A$5:$A$204,Fixtures!$D$5:$D$204,""),Rules!$C$13,"")),I105)))</x:f>
      </x:c>
      <x:c r="Z105" s="38" t="str">
        <x:f>IF(D105="","",IF(AND(R105="Approved Current",OR(J105="Played",J105="Walkover")),"Yes","No"))</x:f>
      </x:c>
      <x:c r="AA105" s="38" t="str">
        <x:f>IF(D105="","",IF(AND(R105="Approved Current",COUNTIFS($D$5:$D$204,D105,$R$5:$R$204,"Approved Current")&gt;1),"Multiple Approved Current",IF(AND(J105="Walkover",K105=""),"Walkover missing winner","OK")))</x:f>
      </x:c>
    </x:row>
    <x:row r="106" ht="15" hidden="0" customHeight="1">
      <x:c r="A106" s="67"/>
      <x:c r="B106" s="38"/>
      <x:c r="C106" s="38"/>
      <x:c r="D106" s="38"/>
      <x:c r="E106" s="38" t="str">
        <x:f>IFERROR(XLOOKUP(D106,Fixtures!$A$5:$A$204,Fixtures!$M$5:$M$204,""),"")</x:f>
      </x:c>
      <x:c r="F106" s="38" t="str">
        <x:f>IFERROR(XLOOKUP(D106,Fixtures!$A$5:$A$204,Fixtures!$E$5:$E$204,""),"")</x:f>
      </x:c>
      <x:c r="G106" s="38" t="str">
        <x:f>IFERROR(XLOOKUP(D106,Fixtures!$A$5:$A$204,Fixtures!$G$5:$G$204,""),"")</x:f>
      </x:c>
      <x:c r="H106" s="38"/>
      <x:c r="I106" s="38"/>
      <x:c r="J106" s="38"/>
      <x:c r="K106" s="38"/>
      <x:c r="L106" s="60"/>
      <x:c r="M106" s="38"/>
      <x:c r="N106" s="38"/>
      <x:c r="O106" s="38"/>
      <x:c r="P106" s="38"/>
      <x:c r="Q106" s="38"/>
      <x:c r="R106" s="38"/>
      <x:c r="S106" s="38" t="str">
        <x:f>IF(R106="Approved Current","Yes","No")</x:f>
        <x:v>No</x:v>
      </x:c>
      <x:c r="T106" s="38"/>
      <x:c r="U106" s="38"/>
      <x:c r="V106" s="38"/>
      <x:c r="W106" s="38"/>
      <x:c r="X106" s="38" t="str">
        <x:f>IF(D106="","",IF(V106&lt;&gt;"",V106,IF(J106="Walkover",IF(K106=XLOOKUP(D106,Fixtures!$A$5:$A$204,Fixtures!$D$5:$D$204,""),Rules!$C$12,IF(K106=XLOOKUP(D106,Fixtures!$A$5:$A$204,Fixtures!$F$5:$F$204,""),Rules!$C$13,"")),H106)))</x:f>
      </x:c>
      <x:c r="Y106" s="38" t="str">
        <x:f>IF(D106="","",IF(W106&lt;&gt;"",W106,IF(J106="Walkover",IF(K106=XLOOKUP(D106,Fixtures!$A$5:$A$204,Fixtures!$F$5:$F$204,""),Rules!$C$12,IF(K106=XLOOKUP(D106,Fixtures!$A$5:$A$204,Fixtures!$D$5:$D$204,""),Rules!$C$13,"")),I106)))</x:f>
      </x:c>
      <x:c r="Z106" s="38" t="str">
        <x:f>IF(D106="","",IF(AND(R106="Approved Current",OR(J106="Played",J106="Walkover")),"Yes","No"))</x:f>
      </x:c>
      <x:c r="AA106" s="38" t="str">
        <x:f>IF(D106="","",IF(AND(R106="Approved Current",COUNTIFS($D$5:$D$204,D106,$R$5:$R$204,"Approved Current")&gt;1),"Multiple Approved Current",IF(AND(J106="Walkover",K106=""),"Walkover missing winner","OK")))</x:f>
      </x:c>
    </x:row>
    <x:row r="107" ht="15" hidden="0" customHeight="1">
      <x:c r="A107" s="67"/>
      <x:c r="B107" s="38"/>
      <x:c r="C107" s="38"/>
      <x:c r="D107" s="38"/>
      <x:c r="E107" s="38" t="str">
        <x:f>IFERROR(XLOOKUP(D107,Fixtures!$A$5:$A$204,Fixtures!$M$5:$M$204,""),"")</x:f>
      </x:c>
      <x:c r="F107" s="38" t="str">
        <x:f>IFERROR(XLOOKUP(D107,Fixtures!$A$5:$A$204,Fixtures!$E$5:$E$204,""),"")</x:f>
      </x:c>
      <x:c r="G107" s="38" t="str">
        <x:f>IFERROR(XLOOKUP(D107,Fixtures!$A$5:$A$204,Fixtures!$G$5:$G$204,""),"")</x:f>
      </x:c>
      <x:c r="H107" s="38"/>
      <x:c r="I107" s="38"/>
      <x:c r="J107" s="38"/>
      <x:c r="K107" s="38"/>
      <x:c r="L107" s="60"/>
      <x:c r="M107" s="38"/>
      <x:c r="N107" s="38"/>
      <x:c r="O107" s="38"/>
      <x:c r="P107" s="38"/>
      <x:c r="Q107" s="38"/>
      <x:c r="R107" s="38"/>
      <x:c r="S107" s="38" t="str">
        <x:f>IF(R107="Approved Current","Yes","No")</x:f>
        <x:v>No</x:v>
      </x:c>
      <x:c r="T107" s="38"/>
      <x:c r="U107" s="38"/>
      <x:c r="V107" s="38"/>
      <x:c r="W107" s="38"/>
      <x:c r="X107" s="38" t="str">
        <x:f>IF(D107="","",IF(V107&lt;&gt;"",V107,IF(J107="Walkover",IF(K107=XLOOKUP(D107,Fixtures!$A$5:$A$204,Fixtures!$D$5:$D$204,""),Rules!$C$12,IF(K107=XLOOKUP(D107,Fixtures!$A$5:$A$204,Fixtures!$F$5:$F$204,""),Rules!$C$13,"")),H107)))</x:f>
      </x:c>
      <x:c r="Y107" s="38" t="str">
        <x:f>IF(D107="","",IF(W107&lt;&gt;"",W107,IF(J107="Walkover",IF(K107=XLOOKUP(D107,Fixtures!$A$5:$A$204,Fixtures!$F$5:$F$204,""),Rules!$C$12,IF(K107=XLOOKUP(D107,Fixtures!$A$5:$A$204,Fixtures!$D$5:$D$204,""),Rules!$C$13,"")),I107)))</x:f>
      </x:c>
      <x:c r="Z107" s="38" t="str">
        <x:f>IF(D107="","",IF(AND(R107="Approved Current",OR(J107="Played",J107="Walkover")),"Yes","No"))</x:f>
      </x:c>
      <x:c r="AA107" s="38" t="str">
        <x:f>IF(D107="","",IF(AND(R107="Approved Current",COUNTIFS($D$5:$D$204,D107,$R$5:$R$204,"Approved Current")&gt;1),"Multiple Approved Current",IF(AND(J107="Walkover",K107=""),"Walkover missing winner","OK")))</x:f>
      </x:c>
    </x:row>
    <x:row r="108" ht="15" hidden="0" customHeight="1">
      <x:c r="A108" s="67"/>
      <x:c r="B108" s="38"/>
      <x:c r="C108" s="38"/>
      <x:c r="D108" s="38"/>
      <x:c r="E108" s="38" t="str">
        <x:f>IFERROR(XLOOKUP(D108,Fixtures!$A$5:$A$204,Fixtures!$M$5:$M$204,""),"")</x:f>
      </x:c>
      <x:c r="F108" s="38" t="str">
        <x:f>IFERROR(XLOOKUP(D108,Fixtures!$A$5:$A$204,Fixtures!$E$5:$E$204,""),"")</x:f>
      </x:c>
      <x:c r="G108" s="38" t="str">
        <x:f>IFERROR(XLOOKUP(D108,Fixtures!$A$5:$A$204,Fixtures!$G$5:$G$204,""),"")</x:f>
      </x:c>
      <x:c r="H108" s="38"/>
      <x:c r="I108" s="38"/>
      <x:c r="J108" s="38"/>
      <x:c r="K108" s="38"/>
      <x:c r="L108" s="60"/>
      <x:c r="M108" s="38"/>
      <x:c r="N108" s="38"/>
      <x:c r="O108" s="38"/>
      <x:c r="P108" s="38"/>
      <x:c r="Q108" s="38"/>
      <x:c r="R108" s="38"/>
      <x:c r="S108" s="38" t="str">
        <x:f>IF(R108="Approved Current","Yes","No")</x:f>
        <x:v>No</x:v>
      </x:c>
      <x:c r="T108" s="38"/>
      <x:c r="U108" s="38"/>
      <x:c r="V108" s="38"/>
      <x:c r="W108" s="38"/>
      <x:c r="X108" s="38" t="str">
        <x:f>IF(D108="","",IF(V108&lt;&gt;"",V108,IF(J108="Walkover",IF(K108=XLOOKUP(D108,Fixtures!$A$5:$A$204,Fixtures!$D$5:$D$204,""),Rules!$C$12,IF(K108=XLOOKUP(D108,Fixtures!$A$5:$A$204,Fixtures!$F$5:$F$204,""),Rules!$C$13,"")),H108)))</x:f>
      </x:c>
      <x:c r="Y108" s="38" t="str">
        <x:f>IF(D108="","",IF(W108&lt;&gt;"",W108,IF(J108="Walkover",IF(K108=XLOOKUP(D108,Fixtures!$A$5:$A$204,Fixtures!$F$5:$F$204,""),Rules!$C$12,IF(K108=XLOOKUP(D108,Fixtures!$A$5:$A$204,Fixtures!$D$5:$D$204,""),Rules!$C$13,"")),I108)))</x:f>
      </x:c>
      <x:c r="Z108" s="38" t="str">
        <x:f>IF(D108="","",IF(AND(R108="Approved Current",OR(J108="Played",J108="Walkover")),"Yes","No"))</x:f>
      </x:c>
      <x:c r="AA108" s="38" t="str">
        <x:f>IF(D108="","",IF(AND(R108="Approved Current",COUNTIFS($D$5:$D$204,D108,$R$5:$R$204,"Approved Current")&gt;1),"Multiple Approved Current",IF(AND(J108="Walkover",K108=""),"Walkover missing winner","OK")))</x:f>
      </x:c>
    </x:row>
    <x:row r="109" ht="15" hidden="0" customHeight="1">
      <x:c r="A109" s="67"/>
      <x:c r="B109" s="38"/>
      <x:c r="C109" s="38"/>
      <x:c r="D109" s="38"/>
      <x:c r="E109" s="38" t="str">
        <x:f>IFERROR(XLOOKUP(D109,Fixtures!$A$5:$A$204,Fixtures!$M$5:$M$204,""),"")</x:f>
      </x:c>
      <x:c r="F109" s="38" t="str">
        <x:f>IFERROR(XLOOKUP(D109,Fixtures!$A$5:$A$204,Fixtures!$E$5:$E$204,""),"")</x:f>
      </x:c>
      <x:c r="G109" s="38" t="str">
        <x:f>IFERROR(XLOOKUP(D109,Fixtures!$A$5:$A$204,Fixtures!$G$5:$G$204,""),"")</x:f>
      </x:c>
      <x:c r="H109" s="38"/>
      <x:c r="I109" s="38"/>
      <x:c r="J109" s="38"/>
      <x:c r="K109" s="38"/>
      <x:c r="L109" s="60"/>
      <x:c r="M109" s="38"/>
      <x:c r="N109" s="38"/>
      <x:c r="O109" s="38"/>
      <x:c r="P109" s="38"/>
      <x:c r="Q109" s="38"/>
      <x:c r="R109" s="38"/>
      <x:c r="S109" s="38" t="str">
        <x:f>IF(R109="Approved Current","Yes","No")</x:f>
        <x:v>No</x:v>
      </x:c>
      <x:c r="T109" s="38"/>
      <x:c r="U109" s="38"/>
      <x:c r="V109" s="38"/>
      <x:c r="W109" s="38"/>
      <x:c r="X109" s="38" t="str">
        <x:f>IF(D109="","",IF(V109&lt;&gt;"",V109,IF(J109="Walkover",IF(K109=XLOOKUP(D109,Fixtures!$A$5:$A$204,Fixtures!$D$5:$D$204,""),Rules!$C$12,IF(K109=XLOOKUP(D109,Fixtures!$A$5:$A$204,Fixtures!$F$5:$F$204,""),Rules!$C$13,"")),H109)))</x:f>
      </x:c>
      <x:c r="Y109" s="38" t="str">
        <x:f>IF(D109="","",IF(W109&lt;&gt;"",W109,IF(J109="Walkover",IF(K109=XLOOKUP(D109,Fixtures!$A$5:$A$204,Fixtures!$F$5:$F$204,""),Rules!$C$12,IF(K109=XLOOKUP(D109,Fixtures!$A$5:$A$204,Fixtures!$D$5:$D$204,""),Rules!$C$13,"")),I109)))</x:f>
      </x:c>
      <x:c r="Z109" s="38" t="str">
        <x:f>IF(D109="","",IF(AND(R109="Approved Current",OR(J109="Played",J109="Walkover")),"Yes","No"))</x:f>
      </x:c>
      <x:c r="AA109" s="38" t="str">
        <x:f>IF(D109="","",IF(AND(R109="Approved Current",COUNTIFS($D$5:$D$204,D109,$R$5:$R$204,"Approved Current")&gt;1),"Multiple Approved Current",IF(AND(J109="Walkover",K109=""),"Walkover missing winner","OK")))</x:f>
      </x:c>
    </x:row>
    <x:row r="110" ht="15" hidden="0" customHeight="1">
      <x:c r="A110" s="67"/>
      <x:c r="B110" s="38"/>
      <x:c r="C110" s="38"/>
      <x:c r="D110" s="38"/>
      <x:c r="E110" s="38" t="str">
        <x:f>IFERROR(XLOOKUP(D110,Fixtures!$A$5:$A$204,Fixtures!$M$5:$M$204,""),"")</x:f>
      </x:c>
      <x:c r="F110" s="38" t="str">
        <x:f>IFERROR(XLOOKUP(D110,Fixtures!$A$5:$A$204,Fixtures!$E$5:$E$204,""),"")</x:f>
      </x:c>
      <x:c r="G110" s="38" t="str">
        <x:f>IFERROR(XLOOKUP(D110,Fixtures!$A$5:$A$204,Fixtures!$G$5:$G$204,""),"")</x:f>
      </x:c>
      <x:c r="H110" s="38"/>
      <x:c r="I110" s="38"/>
      <x:c r="J110" s="38"/>
      <x:c r="K110" s="38"/>
      <x:c r="L110" s="60"/>
      <x:c r="M110" s="38"/>
      <x:c r="N110" s="38"/>
      <x:c r="O110" s="38"/>
      <x:c r="P110" s="38"/>
      <x:c r="Q110" s="38"/>
      <x:c r="R110" s="38"/>
      <x:c r="S110" s="38" t="str">
        <x:f>IF(R110="Approved Current","Yes","No")</x:f>
        <x:v>No</x:v>
      </x:c>
      <x:c r="T110" s="38"/>
      <x:c r="U110" s="38"/>
      <x:c r="V110" s="38"/>
      <x:c r="W110" s="38"/>
      <x:c r="X110" s="38" t="str">
        <x:f>IF(D110="","",IF(V110&lt;&gt;"",V110,IF(J110="Walkover",IF(K110=XLOOKUP(D110,Fixtures!$A$5:$A$204,Fixtures!$D$5:$D$204,""),Rules!$C$12,IF(K110=XLOOKUP(D110,Fixtures!$A$5:$A$204,Fixtures!$F$5:$F$204,""),Rules!$C$13,"")),H110)))</x:f>
      </x:c>
      <x:c r="Y110" s="38" t="str">
        <x:f>IF(D110="","",IF(W110&lt;&gt;"",W110,IF(J110="Walkover",IF(K110=XLOOKUP(D110,Fixtures!$A$5:$A$204,Fixtures!$F$5:$F$204,""),Rules!$C$12,IF(K110=XLOOKUP(D110,Fixtures!$A$5:$A$204,Fixtures!$D$5:$D$204,""),Rules!$C$13,"")),I110)))</x:f>
      </x:c>
      <x:c r="Z110" s="38" t="str">
        <x:f>IF(D110="","",IF(AND(R110="Approved Current",OR(J110="Played",J110="Walkover")),"Yes","No"))</x:f>
      </x:c>
      <x:c r="AA110" s="38" t="str">
        <x:f>IF(D110="","",IF(AND(R110="Approved Current",COUNTIFS($D$5:$D$204,D110,$R$5:$R$204,"Approved Current")&gt;1),"Multiple Approved Current",IF(AND(J110="Walkover",K110=""),"Walkover missing winner","OK")))</x:f>
      </x:c>
    </x:row>
    <x:row r="111" ht="15" hidden="0" customHeight="1">
      <x:c r="A111" s="67"/>
      <x:c r="B111" s="38"/>
      <x:c r="C111" s="38"/>
      <x:c r="D111" s="38"/>
      <x:c r="E111" s="38" t="str">
        <x:f>IFERROR(XLOOKUP(D111,Fixtures!$A$5:$A$204,Fixtures!$M$5:$M$204,""),"")</x:f>
      </x:c>
      <x:c r="F111" s="38" t="str">
        <x:f>IFERROR(XLOOKUP(D111,Fixtures!$A$5:$A$204,Fixtures!$E$5:$E$204,""),"")</x:f>
      </x:c>
      <x:c r="G111" s="38" t="str">
        <x:f>IFERROR(XLOOKUP(D111,Fixtures!$A$5:$A$204,Fixtures!$G$5:$G$204,""),"")</x:f>
      </x:c>
      <x:c r="H111" s="38"/>
      <x:c r="I111" s="38"/>
      <x:c r="J111" s="38"/>
      <x:c r="K111" s="38"/>
      <x:c r="L111" s="60"/>
      <x:c r="M111" s="38"/>
      <x:c r="N111" s="38"/>
      <x:c r="O111" s="38"/>
      <x:c r="P111" s="38"/>
      <x:c r="Q111" s="38"/>
      <x:c r="R111" s="38"/>
      <x:c r="S111" s="38" t="str">
        <x:f>IF(R111="Approved Current","Yes","No")</x:f>
        <x:v>No</x:v>
      </x:c>
      <x:c r="T111" s="38"/>
      <x:c r="U111" s="38"/>
      <x:c r="V111" s="38"/>
      <x:c r="W111" s="38"/>
      <x:c r="X111" s="38" t="str">
        <x:f>IF(D111="","",IF(V111&lt;&gt;"",V111,IF(J111="Walkover",IF(K111=XLOOKUP(D111,Fixtures!$A$5:$A$204,Fixtures!$D$5:$D$204,""),Rules!$C$12,IF(K111=XLOOKUP(D111,Fixtures!$A$5:$A$204,Fixtures!$F$5:$F$204,""),Rules!$C$13,"")),H111)))</x:f>
      </x:c>
      <x:c r="Y111" s="38" t="str">
        <x:f>IF(D111="","",IF(W111&lt;&gt;"",W111,IF(J111="Walkover",IF(K111=XLOOKUP(D111,Fixtures!$A$5:$A$204,Fixtures!$F$5:$F$204,""),Rules!$C$12,IF(K111=XLOOKUP(D111,Fixtures!$A$5:$A$204,Fixtures!$D$5:$D$204,""),Rules!$C$13,"")),I111)))</x:f>
      </x:c>
      <x:c r="Z111" s="38" t="str">
        <x:f>IF(D111="","",IF(AND(R111="Approved Current",OR(J111="Played",J111="Walkover")),"Yes","No"))</x:f>
      </x:c>
      <x:c r="AA111" s="38" t="str">
        <x:f>IF(D111="","",IF(AND(R111="Approved Current",COUNTIFS($D$5:$D$204,D111,$R$5:$R$204,"Approved Current")&gt;1),"Multiple Approved Current",IF(AND(J111="Walkover",K111=""),"Walkover missing winner","OK")))</x:f>
      </x:c>
    </x:row>
    <x:row r="112" ht="15" hidden="0" customHeight="1">
      <x:c r="A112" s="67"/>
      <x:c r="B112" s="38"/>
      <x:c r="C112" s="38"/>
      <x:c r="D112" s="38"/>
      <x:c r="E112" s="38" t="str">
        <x:f>IFERROR(XLOOKUP(D112,Fixtures!$A$5:$A$204,Fixtures!$M$5:$M$204,""),"")</x:f>
      </x:c>
      <x:c r="F112" s="38" t="str">
        <x:f>IFERROR(XLOOKUP(D112,Fixtures!$A$5:$A$204,Fixtures!$E$5:$E$204,""),"")</x:f>
      </x:c>
      <x:c r="G112" s="38" t="str">
        <x:f>IFERROR(XLOOKUP(D112,Fixtures!$A$5:$A$204,Fixtures!$G$5:$G$204,""),"")</x:f>
      </x:c>
      <x:c r="H112" s="38"/>
      <x:c r="I112" s="38"/>
      <x:c r="J112" s="38"/>
      <x:c r="K112" s="38"/>
      <x:c r="L112" s="60"/>
      <x:c r="M112" s="38"/>
      <x:c r="N112" s="38"/>
      <x:c r="O112" s="38"/>
      <x:c r="P112" s="38"/>
      <x:c r="Q112" s="38"/>
      <x:c r="R112" s="38"/>
      <x:c r="S112" s="38" t="str">
        <x:f>IF(R112="Approved Current","Yes","No")</x:f>
        <x:v>No</x:v>
      </x:c>
      <x:c r="T112" s="38"/>
      <x:c r="U112" s="38"/>
      <x:c r="V112" s="38"/>
      <x:c r="W112" s="38"/>
      <x:c r="X112" s="38" t="str">
        <x:f>IF(D112="","",IF(V112&lt;&gt;"",V112,IF(J112="Walkover",IF(K112=XLOOKUP(D112,Fixtures!$A$5:$A$204,Fixtures!$D$5:$D$204,""),Rules!$C$12,IF(K112=XLOOKUP(D112,Fixtures!$A$5:$A$204,Fixtures!$F$5:$F$204,""),Rules!$C$13,"")),H112)))</x:f>
      </x:c>
      <x:c r="Y112" s="38" t="str">
        <x:f>IF(D112="","",IF(W112&lt;&gt;"",W112,IF(J112="Walkover",IF(K112=XLOOKUP(D112,Fixtures!$A$5:$A$204,Fixtures!$F$5:$F$204,""),Rules!$C$12,IF(K112=XLOOKUP(D112,Fixtures!$A$5:$A$204,Fixtures!$D$5:$D$204,""),Rules!$C$13,"")),I112)))</x:f>
      </x:c>
      <x:c r="Z112" s="38" t="str">
        <x:f>IF(D112="","",IF(AND(R112="Approved Current",OR(J112="Played",J112="Walkover")),"Yes","No"))</x:f>
      </x:c>
      <x:c r="AA112" s="38" t="str">
        <x:f>IF(D112="","",IF(AND(R112="Approved Current",COUNTIFS($D$5:$D$204,D112,$R$5:$R$204,"Approved Current")&gt;1),"Multiple Approved Current",IF(AND(J112="Walkover",K112=""),"Walkover missing winner","OK")))</x:f>
      </x:c>
    </x:row>
    <x:row r="113" ht="15" hidden="0" customHeight="1">
      <x:c r="A113" s="67"/>
      <x:c r="B113" s="38"/>
      <x:c r="C113" s="38"/>
      <x:c r="D113" s="38"/>
      <x:c r="E113" s="38" t="str">
        <x:f>IFERROR(XLOOKUP(D113,Fixtures!$A$5:$A$204,Fixtures!$M$5:$M$204,""),"")</x:f>
      </x:c>
      <x:c r="F113" s="38" t="str">
        <x:f>IFERROR(XLOOKUP(D113,Fixtures!$A$5:$A$204,Fixtures!$E$5:$E$204,""),"")</x:f>
      </x:c>
      <x:c r="G113" s="38" t="str">
        <x:f>IFERROR(XLOOKUP(D113,Fixtures!$A$5:$A$204,Fixtures!$G$5:$G$204,""),"")</x:f>
      </x:c>
      <x:c r="H113" s="38"/>
      <x:c r="I113" s="38"/>
      <x:c r="J113" s="38"/>
      <x:c r="K113" s="38"/>
      <x:c r="L113" s="60"/>
      <x:c r="M113" s="38"/>
      <x:c r="N113" s="38"/>
      <x:c r="O113" s="38"/>
      <x:c r="P113" s="38"/>
      <x:c r="Q113" s="38"/>
      <x:c r="R113" s="38"/>
      <x:c r="S113" s="38" t="str">
        <x:f>IF(R113="Approved Current","Yes","No")</x:f>
        <x:v>No</x:v>
      </x:c>
      <x:c r="T113" s="38"/>
      <x:c r="U113" s="38"/>
      <x:c r="V113" s="38"/>
      <x:c r="W113" s="38"/>
      <x:c r="X113" s="38" t="str">
        <x:f>IF(D113="","",IF(V113&lt;&gt;"",V113,IF(J113="Walkover",IF(K113=XLOOKUP(D113,Fixtures!$A$5:$A$204,Fixtures!$D$5:$D$204,""),Rules!$C$12,IF(K113=XLOOKUP(D113,Fixtures!$A$5:$A$204,Fixtures!$F$5:$F$204,""),Rules!$C$13,"")),H113)))</x:f>
      </x:c>
      <x:c r="Y113" s="38" t="str">
        <x:f>IF(D113="","",IF(W113&lt;&gt;"",W113,IF(J113="Walkover",IF(K113=XLOOKUP(D113,Fixtures!$A$5:$A$204,Fixtures!$F$5:$F$204,""),Rules!$C$12,IF(K113=XLOOKUP(D113,Fixtures!$A$5:$A$204,Fixtures!$D$5:$D$204,""),Rules!$C$13,"")),I113)))</x:f>
      </x:c>
      <x:c r="Z113" s="38" t="str">
        <x:f>IF(D113="","",IF(AND(R113="Approved Current",OR(J113="Played",J113="Walkover")),"Yes","No"))</x:f>
      </x:c>
      <x:c r="AA113" s="38" t="str">
        <x:f>IF(D113="","",IF(AND(R113="Approved Current",COUNTIFS($D$5:$D$204,D113,$R$5:$R$204,"Approved Current")&gt;1),"Multiple Approved Current",IF(AND(J113="Walkover",K113=""),"Walkover missing winner","OK")))</x:f>
      </x:c>
    </x:row>
    <x:row r="114" ht="15" hidden="0" customHeight="1">
      <x:c r="A114" s="67"/>
      <x:c r="B114" s="38"/>
      <x:c r="C114" s="38"/>
      <x:c r="D114" s="38"/>
      <x:c r="E114" s="38" t="str">
        <x:f>IFERROR(XLOOKUP(D114,Fixtures!$A$5:$A$204,Fixtures!$M$5:$M$204,""),"")</x:f>
      </x:c>
      <x:c r="F114" s="38" t="str">
        <x:f>IFERROR(XLOOKUP(D114,Fixtures!$A$5:$A$204,Fixtures!$E$5:$E$204,""),"")</x:f>
      </x:c>
      <x:c r="G114" s="38" t="str">
        <x:f>IFERROR(XLOOKUP(D114,Fixtures!$A$5:$A$204,Fixtures!$G$5:$G$204,""),"")</x:f>
      </x:c>
      <x:c r="H114" s="38"/>
      <x:c r="I114" s="38"/>
      <x:c r="J114" s="38"/>
      <x:c r="K114" s="38"/>
      <x:c r="L114" s="60"/>
      <x:c r="M114" s="38"/>
      <x:c r="N114" s="38"/>
      <x:c r="O114" s="38"/>
      <x:c r="P114" s="38"/>
      <x:c r="Q114" s="38"/>
      <x:c r="R114" s="38"/>
      <x:c r="S114" s="38" t="str">
        <x:f>IF(R114="Approved Current","Yes","No")</x:f>
        <x:v>No</x:v>
      </x:c>
      <x:c r="T114" s="38"/>
      <x:c r="U114" s="38"/>
      <x:c r="V114" s="38"/>
      <x:c r="W114" s="38"/>
      <x:c r="X114" s="38" t="str">
        <x:f>IF(D114="","",IF(V114&lt;&gt;"",V114,IF(J114="Walkover",IF(K114=XLOOKUP(D114,Fixtures!$A$5:$A$204,Fixtures!$D$5:$D$204,""),Rules!$C$12,IF(K114=XLOOKUP(D114,Fixtures!$A$5:$A$204,Fixtures!$F$5:$F$204,""),Rules!$C$13,"")),H114)))</x:f>
      </x:c>
      <x:c r="Y114" s="38" t="str">
        <x:f>IF(D114="","",IF(W114&lt;&gt;"",W114,IF(J114="Walkover",IF(K114=XLOOKUP(D114,Fixtures!$A$5:$A$204,Fixtures!$F$5:$F$204,""),Rules!$C$12,IF(K114=XLOOKUP(D114,Fixtures!$A$5:$A$204,Fixtures!$D$5:$D$204,""),Rules!$C$13,"")),I114)))</x:f>
      </x:c>
      <x:c r="Z114" s="38" t="str">
        <x:f>IF(D114="","",IF(AND(R114="Approved Current",OR(J114="Played",J114="Walkover")),"Yes","No"))</x:f>
      </x:c>
      <x:c r="AA114" s="38" t="str">
        <x:f>IF(D114="","",IF(AND(R114="Approved Current",COUNTIFS($D$5:$D$204,D114,$R$5:$R$204,"Approved Current")&gt;1),"Multiple Approved Current",IF(AND(J114="Walkover",K114=""),"Walkover missing winner","OK")))</x:f>
      </x:c>
    </x:row>
    <x:row r="115" ht="15" hidden="0" customHeight="1">
      <x:c r="A115" s="67"/>
      <x:c r="B115" s="38"/>
      <x:c r="C115" s="38"/>
      <x:c r="D115" s="38"/>
      <x:c r="E115" s="38" t="str">
        <x:f>IFERROR(XLOOKUP(D115,Fixtures!$A$5:$A$204,Fixtures!$M$5:$M$204,""),"")</x:f>
      </x:c>
      <x:c r="F115" s="38" t="str">
        <x:f>IFERROR(XLOOKUP(D115,Fixtures!$A$5:$A$204,Fixtures!$E$5:$E$204,""),"")</x:f>
      </x:c>
      <x:c r="G115" s="38" t="str">
        <x:f>IFERROR(XLOOKUP(D115,Fixtures!$A$5:$A$204,Fixtures!$G$5:$G$204,""),"")</x:f>
      </x:c>
      <x:c r="H115" s="38"/>
      <x:c r="I115" s="38"/>
      <x:c r="J115" s="38"/>
      <x:c r="K115" s="38"/>
      <x:c r="L115" s="60"/>
      <x:c r="M115" s="38"/>
      <x:c r="N115" s="38"/>
      <x:c r="O115" s="38"/>
      <x:c r="P115" s="38"/>
      <x:c r="Q115" s="38"/>
      <x:c r="R115" s="38"/>
      <x:c r="S115" s="38" t="str">
        <x:f>IF(R115="Approved Current","Yes","No")</x:f>
        <x:v>No</x:v>
      </x:c>
      <x:c r="T115" s="38"/>
      <x:c r="U115" s="38"/>
      <x:c r="V115" s="38"/>
      <x:c r="W115" s="38"/>
      <x:c r="X115" s="38" t="str">
        <x:f>IF(D115="","",IF(V115&lt;&gt;"",V115,IF(J115="Walkover",IF(K115=XLOOKUP(D115,Fixtures!$A$5:$A$204,Fixtures!$D$5:$D$204,""),Rules!$C$12,IF(K115=XLOOKUP(D115,Fixtures!$A$5:$A$204,Fixtures!$F$5:$F$204,""),Rules!$C$13,"")),H115)))</x:f>
      </x:c>
      <x:c r="Y115" s="38" t="str">
        <x:f>IF(D115="","",IF(W115&lt;&gt;"",W115,IF(J115="Walkover",IF(K115=XLOOKUP(D115,Fixtures!$A$5:$A$204,Fixtures!$F$5:$F$204,""),Rules!$C$12,IF(K115=XLOOKUP(D115,Fixtures!$A$5:$A$204,Fixtures!$D$5:$D$204,""),Rules!$C$13,"")),I115)))</x:f>
      </x:c>
      <x:c r="Z115" s="38" t="str">
        <x:f>IF(D115="","",IF(AND(R115="Approved Current",OR(J115="Played",J115="Walkover")),"Yes","No"))</x:f>
      </x:c>
      <x:c r="AA115" s="38" t="str">
        <x:f>IF(D115="","",IF(AND(R115="Approved Current",COUNTIFS($D$5:$D$204,D115,$R$5:$R$204,"Approved Current")&gt;1),"Multiple Approved Current",IF(AND(J115="Walkover",K115=""),"Walkover missing winner","OK")))</x:f>
      </x:c>
    </x:row>
    <x:row r="116" ht="15" hidden="0" customHeight="1">
      <x:c r="A116" s="67"/>
      <x:c r="B116" s="38"/>
      <x:c r="C116" s="38"/>
      <x:c r="D116" s="38"/>
      <x:c r="E116" s="38" t="str">
        <x:f>IFERROR(XLOOKUP(D116,Fixtures!$A$5:$A$204,Fixtures!$M$5:$M$204,""),"")</x:f>
      </x:c>
      <x:c r="F116" s="38" t="str">
        <x:f>IFERROR(XLOOKUP(D116,Fixtures!$A$5:$A$204,Fixtures!$E$5:$E$204,""),"")</x:f>
      </x:c>
      <x:c r="G116" s="38" t="str">
        <x:f>IFERROR(XLOOKUP(D116,Fixtures!$A$5:$A$204,Fixtures!$G$5:$G$204,""),"")</x:f>
      </x:c>
      <x:c r="H116" s="38"/>
      <x:c r="I116" s="38"/>
      <x:c r="J116" s="38"/>
      <x:c r="K116" s="38"/>
      <x:c r="L116" s="60"/>
      <x:c r="M116" s="38"/>
      <x:c r="N116" s="38"/>
      <x:c r="O116" s="38"/>
      <x:c r="P116" s="38"/>
      <x:c r="Q116" s="38"/>
      <x:c r="R116" s="38"/>
      <x:c r="S116" s="38" t="str">
        <x:f>IF(R116="Approved Current","Yes","No")</x:f>
        <x:v>No</x:v>
      </x:c>
      <x:c r="T116" s="38"/>
      <x:c r="U116" s="38"/>
      <x:c r="V116" s="38"/>
      <x:c r="W116" s="38"/>
      <x:c r="X116" s="38" t="str">
        <x:f>IF(D116="","",IF(V116&lt;&gt;"",V116,IF(J116="Walkover",IF(K116=XLOOKUP(D116,Fixtures!$A$5:$A$204,Fixtures!$D$5:$D$204,""),Rules!$C$12,IF(K116=XLOOKUP(D116,Fixtures!$A$5:$A$204,Fixtures!$F$5:$F$204,""),Rules!$C$13,"")),H116)))</x:f>
      </x:c>
      <x:c r="Y116" s="38" t="str">
        <x:f>IF(D116="","",IF(W116&lt;&gt;"",W116,IF(J116="Walkover",IF(K116=XLOOKUP(D116,Fixtures!$A$5:$A$204,Fixtures!$F$5:$F$204,""),Rules!$C$12,IF(K116=XLOOKUP(D116,Fixtures!$A$5:$A$204,Fixtures!$D$5:$D$204,""),Rules!$C$13,"")),I116)))</x:f>
      </x:c>
      <x:c r="Z116" s="38" t="str">
        <x:f>IF(D116="","",IF(AND(R116="Approved Current",OR(J116="Played",J116="Walkover")),"Yes","No"))</x:f>
      </x:c>
      <x:c r="AA116" s="38" t="str">
        <x:f>IF(D116="","",IF(AND(R116="Approved Current",COUNTIFS($D$5:$D$204,D116,$R$5:$R$204,"Approved Current")&gt;1),"Multiple Approved Current",IF(AND(J116="Walkover",K116=""),"Walkover missing winner","OK")))</x:f>
      </x:c>
    </x:row>
    <x:row r="117" ht="15" hidden="0" customHeight="1">
      <x:c r="A117" s="67"/>
      <x:c r="B117" s="38"/>
      <x:c r="C117" s="38"/>
      <x:c r="D117" s="38"/>
      <x:c r="E117" s="38" t="str">
        <x:f>IFERROR(XLOOKUP(D117,Fixtures!$A$5:$A$204,Fixtures!$M$5:$M$204,""),"")</x:f>
      </x:c>
      <x:c r="F117" s="38" t="str">
        <x:f>IFERROR(XLOOKUP(D117,Fixtures!$A$5:$A$204,Fixtures!$E$5:$E$204,""),"")</x:f>
      </x:c>
      <x:c r="G117" s="38" t="str">
        <x:f>IFERROR(XLOOKUP(D117,Fixtures!$A$5:$A$204,Fixtures!$G$5:$G$204,""),"")</x:f>
      </x:c>
      <x:c r="H117" s="38"/>
      <x:c r="I117" s="38"/>
      <x:c r="J117" s="38"/>
      <x:c r="K117" s="38"/>
      <x:c r="L117" s="60"/>
      <x:c r="M117" s="38"/>
      <x:c r="N117" s="38"/>
      <x:c r="O117" s="38"/>
      <x:c r="P117" s="38"/>
      <x:c r="Q117" s="38"/>
      <x:c r="R117" s="38"/>
      <x:c r="S117" s="38" t="str">
        <x:f>IF(R117="Approved Current","Yes","No")</x:f>
        <x:v>No</x:v>
      </x:c>
      <x:c r="T117" s="38"/>
      <x:c r="U117" s="38"/>
      <x:c r="V117" s="38"/>
      <x:c r="W117" s="38"/>
      <x:c r="X117" s="38" t="str">
        <x:f>IF(D117="","",IF(V117&lt;&gt;"",V117,IF(J117="Walkover",IF(K117=XLOOKUP(D117,Fixtures!$A$5:$A$204,Fixtures!$D$5:$D$204,""),Rules!$C$12,IF(K117=XLOOKUP(D117,Fixtures!$A$5:$A$204,Fixtures!$F$5:$F$204,""),Rules!$C$13,"")),H117)))</x:f>
      </x:c>
      <x:c r="Y117" s="38" t="str">
        <x:f>IF(D117="","",IF(W117&lt;&gt;"",W117,IF(J117="Walkover",IF(K117=XLOOKUP(D117,Fixtures!$A$5:$A$204,Fixtures!$F$5:$F$204,""),Rules!$C$12,IF(K117=XLOOKUP(D117,Fixtures!$A$5:$A$204,Fixtures!$D$5:$D$204,""),Rules!$C$13,"")),I117)))</x:f>
      </x:c>
      <x:c r="Z117" s="38" t="str">
        <x:f>IF(D117="","",IF(AND(R117="Approved Current",OR(J117="Played",J117="Walkover")),"Yes","No"))</x:f>
      </x:c>
      <x:c r="AA117" s="38" t="str">
        <x:f>IF(D117="","",IF(AND(R117="Approved Current",COUNTIFS($D$5:$D$204,D117,$R$5:$R$204,"Approved Current")&gt;1),"Multiple Approved Current",IF(AND(J117="Walkover",K117=""),"Walkover missing winner","OK")))</x:f>
      </x:c>
    </x:row>
    <x:row r="118" ht="15" hidden="0" customHeight="1">
      <x:c r="A118" s="67"/>
      <x:c r="B118" s="38"/>
      <x:c r="C118" s="38"/>
      <x:c r="D118" s="38"/>
      <x:c r="E118" s="38" t="str">
        <x:f>IFERROR(XLOOKUP(D118,Fixtures!$A$5:$A$204,Fixtures!$M$5:$M$204,""),"")</x:f>
      </x:c>
      <x:c r="F118" s="38" t="str">
        <x:f>IFERROR(XLOOKUP(D118,Fixtures!$A$5:$A$204,Fixtures!$E$5:$E$204,""),"")</x:f>
      </x:c>
      <x:c r="G118" s="38" t="str">
        <x:f>IFERROR(XLOOKUP(D118,Fixtures!$A$5:$A$204,Fixtures!$G$5:$G$204,""),"")</x:f>
      </x:c>
      <x:c r="H118" s="38"/>
      <x:c r="I118" s="38"/>
      <x:c r="J118" s="38"/>
      <x:c r="K118" s="38"/>
      <x:c r="L118" s="60"/>
      <x:c r="M118" s="38"/>
      <x:c r="N118" s="38"/>
      <x:c r="O118" s="38"/>
      <x:c r="P118" s="38"/>
      <x:c r="Q118" s="38"/>
      <x:c r="R118" s="38"/>
      <x:c r="S118" s="38" t="str">
        <x:f>IF(R118="Approved Current","Yes","No")</x:f>
        <x:v>No</x:v>
      </x:c>
      <x:c r="T118" s="38"/>
      <x:c r="U118" s="38"/>
      <x:c r="V118" s="38"/>
      <x:c r="W118" s="38"/>
      <x:c r="X118" s="38" t="str">
        <x:f>IF(D118="","",IF(V118&lt;&gt;"",V118,IF(J118="Walkover",IF(K118=XLOOKUP(D118,Fixtures!$A$5:$A$204,Fixtures!$D$5:$D$204,""),Rules!$C$12,IF(K118=XLOOKUP(D118,Fixtures!$A$5:$A$204,Fixtures!$F$5:$F$204,""),Rules!$C$13,"")),H118)))</x:f>
      </x:c>
      <x:c r="Y118" s="38" t="str">
        <x:f>IF(D118="","",IF(W118&lt;&gt;"",W118,IF(J118="Walkover",IF(K118=XLOOKUP(D118,Fixtures!$A$5:$A$204,Fixtures!$F$5:$F$204,""),Rules!$C$12,IF(K118=XLOOKUP(D118,Fixtures!$A$5:$A$204,Fixtures!$D$5:$D$204,""),Rules!$C$13,"")),I118)))</x:f>
      </x:c>
      <x:c r="Z118" s="38" t="str">
        <x:f>IF(D118="","",IF(AND(R118="Approved Current",OR(J118="Played",J118="Walkover")),"Yes","No"))</x:f>
      </x:c>
      <x:c r="AA118" s="38" t="str">
        <x:f>IF(D118="","",IF(AND(R118="Approved Current",COUNTIFS($D$5:$D$204,D118,$R$5:$R$204,"Approved Current")&gt;1),"Multiple Approved Current",IF(AND(J118="Walkover",K118=""),"Walkover missing winner","OK")))</x:f>
      </x:c>
    </x:row>
    <x:row r="119" ht="15" hidden="0" customHeight="1">
      <x:c r="A119" s="67"/>
      <x:c r="B119" s="38"/>
      <x:c r="C119" s="38"/>
      <x:c r="D119" s="38"/>
      <x:c r="E119" s="38" t="str">
        <x:f>IFERROR(XLOOKUP(D119,Fixtures!$A$5:$A$204,Fixtures!$M$5:$M$204,""),"")</x:f>
      </x:c>
      <x:c r="F119" s="38" t="str">
        <x:f>IFERROR(XLOOKUP(D119,Fixtures!$A$5:$A$204,Fixtures!$E$5:$E$204,""),"")</x:f>
      </x:c>
      <x:c r="G119" s="38" t="str">
        <x:f>IFERROR(XLOOKUP(D119,Fixtures!$A$5:$A$204,Fixtures!$G$5:$G$204,""),"")</x:f>
      </x:c>
      <x:c r="H119" s="38"/>
      <x:c r="I119" s="38"/>
      <x:c r="J119" s="38"/>
      <x:c r="K119" s="38"/>
      <x:c r="L119" s="60"/>
      <x:c r="M119" s="38"/>
      <x:c r="N119" s="38"/>
      <x:c r="O119" s="38"/>
      <x:c r="P119" s="38"/>
      <x:c r="Q119" s="38"/>
      <x:c r="R119" s="38"/>
      <x:c r="S119" s="38" t="str">
        <x:f>IF(R119="Approved Current","Yes","No")</x:f>
        <x:v>No</x:v>
      </x:c>
      <x:c r="T119" s="38"/>
      <x:c r="U119" s="38"/>
      <x:c r="V119" s="38"/>
      <x:c r="W119" s="38"/>
      <x:c r="X119" s="38" t="str">
        <x:f>IF(D119="","",IF(V119&lt;&gt;"",V119,IF(J119="Walkover",IF(K119=XLOOKUP(D119,Fixtures!$A$5:$A$204,Fixtures!$D$5:$D$204,""),Rules!$C$12,IF(K119=XLOOKUP(D119,Fixtures!$A$5:$A$204,Fixtures!$F$5:$F$204,""),Rules!$C$13,"")),H119)))</x:f>
      </x:c>
      <x:c r="Y119" s="38" t="str">
        <x:f>IF(D119="","",IF(W119&lt;&gt;"",W119,IF(J119="Walkover",IF(K119=XLOOKUP(D119,Fixtures!$A$5:$A$204,Fixtures!$F$5:$F$204,""),Rules!$C$12,IF(K119=XLOOKUP(D119,Fixtures!$A$5:$A$204,Fixtures!$D$5:$D$204,""),Rules!$C$13,"")),I119)))</x:f>
      </x:c>
      <x:c r="Z119" s="38" t="str">
        <x:f>IF(D119="","",IF(AND(R119="Approved Current",OR(J119="Played",J119="Walkover")),"Yes","No"))</x:f>
      </x:c>
      <x:c r="AA119" s="38" t="str">
        <x:f>IF(D119="","",IF(AND(R119="Approved Current",COUNTIFS($D$5:$D$204,D119,$R$5:$R$204,"Approved Current")&gt;1),"Multiple Approved Current",IF(AND(J119="Walkover",K119=""),"Walkover missing winner","OK")))</x:f>
      </x:c>
    </x:row>
    <x:row r="120" ht="15" hidden="0" customHeight="1">
      <x:c r="A120" s="67"/>
      <x:c r="B120" s="38"/>
      <x:c r="C120" s="38"/>
      <x:c r="D120" s="38"/>
      <x:c r="E120" s="38" t="str">
        <x:f>IFERROR(XLOOKUP(D120,Fixtures!$A$5:$A$204,Fixtures!$M$5:$M$204,""),"")</x:f>
      </x:c>
      <x:c r="F120" s="38" t="str">
        <x:f>IFERROR(XLOOKUP(D120,Fixtures!$A$5:$A$204,Fixtures!$E$5:$E$204,""),"")</x:f>
      </x:c>
      <x:c r="G120" s="38" t="str">
        <x:f>IFERROR(XLOOKUP(D120,Fixtures!$A$5:$A$204,Fixtures!$G$5:$G$204,""),"")</x:f>
      </x:c>
      <x:c r="H120" s="38"/>
      <x:c r="I120" s="38"/>
      <x:c r="J120" s="38"/>
      <x:c r="K120" s="38"/>
      <x:c r="L120" s="60"/>
      <x:c r="M120" s="38"/>
      <x:c r="N120" s="38"/>
      <x:c r="O120" s="38"/>
      <x:c r="P120" s="38"/>
      <x:c r="Q120" s="38"/>
      <x:c r="R120" s="38"/>
      <x:c r="S120" s="38" t="str">
        <x:f>IF(R120="Approved Current","Yes","No")</x:f>
        <x:v>No</x:v>
      </x:c>
      <x:c r="T120" s="38"/>
      <x:c r="U120" s="38"/>
      <x:c r="V120" s="38"/>
      <x:c r="W120" s="38"/>
      <x:c r="X120" s="38" t="str">
        <x:f>IF(D120="","",IF(V120&lt;&gt;"",V120,IF(J120="Walkover",IF(K120=XLOOKUP(D120,Fixtures!$A$5:$A$204,Fixtures!$D$5:$D$204,""),Rules!$C$12,IF(K120=XLOOKUP(D120,Fixtures!$A$5:$A$204,Fixtures!$F$5:$F$204,""),Rules!$C$13,"")),H120)))</x:f>
      </x:c>
      <x:c r="Y120" s="38" t="str">
        <x:f>IF(D120="","",IF(W120&lt;&gt;"",W120,IF(J120="Walkover",IF(K120=XLOOKUP(D120,Fixtures!$A$5:$A$204,Fixtures!$F$5:$F$204,""),Rules!$C$12,IF(K120=XLOOKUP(D120,Fixtures!$A$5:$A$204,Fixtures!$D$5:$D$204,""),Rules!$C$13,"")),I120)))</x:f>
      </x:c>
      <x:c r="Z120" s="38" t="str">
        <x:f>IF(D120="","",IF(AND(R120="Approved Current",OR(J120="Played",J120="Walkover")),"Yes","No"))</x:f>
      </x:c>
      <x:c r="AA120" s="38" t="str">
        <x:f>IF(D120="","",IF(AND(R120="Approved Current",COUNTIFS($D$5:$D$204,D120,$R$5:$R$204,"Approved Current")&gt;1),"Multiple Approved Current",IF(AND(J120="Walkover",K120=""),"Walkover missing winner","OK")))</x:f>
      </x:c>
    </x:row>
    <x:row r="121" ht="15" hidden="0" customHeight="1">
      <x:c r="A121" s="67"/>
      <x:c r="B121" s="38"/>
      <x:c r="C121" s="38"/>
      <x:c r="D121" s="38"/>
      <x:c r="E121" s="38" t="str">
        <x:f>IFERROR(XLOOKUP(D121,Fixtures!$A$5:$A$204,Fixtures!$M$5:$M$204,""),"")</x:f>
      </x:c>
      <x:c r="F121" s="38" t="str">
        <x:f>IFERROR(XLOOKUP(D121,Fixtures!$A$5:$A$204,Fixtures!$E$5:$E$204,""),"")</x:f>
      </x:c>
      <x:c r="G121" s="38" t="str">
        <x:f>IFERROR(XLOOKUP(D121,Fixtures!$A$5:$A$204,Fixtures!$G$5:$G$204,""),"")</x:f>
      </x:c>
      <x:c r="H121" s="38"/>
      <x:c r="I121" s="38"/>
      <x:c r="J121" s="38"/>
      <x:c r="K121" s="38"/>
      <x:c r="L121" s="60"/>
      <x:c r="M121" s="38"/>
      <x:c r="N121" s="38"/>
      <x:c r="O121" s="38"/>
      <x:c r="P121" s="38"/>
      <x:c r="Q121" s="38"/>
      <x:c r="R121" s="38"/>
      <x:c r="S121" s="38" t="str">
        <x:f>IF(R121="Approved Current","Yes","No")</x:f>
        <x:v>No</x:v>
      </x:c>
      <x:c r="T121" s="38"/>
      <x:c r="U121" s="38"/>
      <x:c r="V121" s="38"/>
      <x:c r="W121" s="38"/>
      <x:c r="X121" s="38" t="str">
        <x:f>IF(D121="","",IF(V121&lt;&gt;"",V121,IF(J121="Walkover",IF(K121=XLOOKUP(D121,Fixtures!$A$5:$A$204,Fixtures!$D$5:$D$204,""),Rules!$C$12,IF(K121=XLOOKUP(D121,Fixtures!$A$5:$A$204,Fixtures!$F$5:$F$204,""),Rules!$C$13,"")),H121)))</x:f>
      </x:c>
      <x:c r="Y121" s="38" t="str">
        <x:f>IF(D121="","",IF(W121&lt;&gt;"",W121,IF(J121="Walkover",IF(K121=XLOOKUP(D121,Fixtures!$A$5:$A$204,Fixtures!$F$5:$F$204,""),Rules!$C$12,IF(K121=XLOOKUP(D121,Fixtures!$A$5:$A$204,Fixtures!$D$5:$D$204,""),Rules!$C$13,"")),I121)))</x:f>
      </x:c>
      <x:c r="Z121" s="38" t="str">
        <x:f>IF(D121="","",IF(AND(R121="Approved Current",OR(J121="Played",J121="Walkover")),"Yes","No"))</x:f>
      </x:c>
      <x:c r="AA121" s="38" t="str">
        <x:f>IF(D121="","",IF(AND(R121="Approved Current",COUNTIFS($D$5:$D$204,D121,$R$5:$R$204,"Approved Current")&gt;1),"Multiple Approved Current",IF(AND(J121="Walkover",K121=""),"Walkover missing winner","OK")))</x:f>
      </x:c>
    </x:row>
    <x:row r="122" ht="15" hidden="0" customHeight="1">
      <x:c r="A122" s="67"/>
      <x:c r="B122" s="38"/>
      <x:c r="C122" s="38"/>
      <x:c r="D122" s="38"/>
      <x:c r="E122" s="38" t="str">
        <x:f>IFERROR(XLOOKUP(D122,Fixtures!$A$5:$A$204,Fixtures!$M$5:$M$204,""),"")</x:f>
      </x:c>
      <x:c r="F122" s="38" t="str">
        <x:f>IFERROR(XLOOKUP(D122,Fixtures!$A$5:$A$204,Fixtures!$E$5:$E$204,""),"")</x:f>
      </x:c>
      <x:c r="G122" s="38" t="str">
        <x:f>IFERROR(XLOOKUP(D122,Fixtures!$A$5:$A$204,Fixtures!$G$5:$G$204,""),"")</x:f>
      </x:c>
      <x:c r="H122" s="38"/>
      <x:c r="I122" s="38"/>
      <x:c r="J122" s="38"/>
      <x:c r="K122" s="38"/>
      <x:c r="L122" s="60"/>
      <x:c r="M122" s="38"/>
      <x:c r="N122" s="38"/>
      <x:c r="O122" s="38"/>
      <x:c r="P122" s="38"/>
      <x:c r="Q122" s="38"/>
      <x:c r="R122" s="38"/>
      <x:c r="S122" s="38" t="str">
        <x:f>IF(R122="Approved Current","Yes","No")</x:f>
        <x:v>No</x:v>
      </x:c>
      <x:c r="T122" s="38"/>
      <x:c r="U122" s="38"/>
      <x:c r="V122" s="38"/>
      <x:c r="W122" s="38"/>
      <x:c r="X122" s="38" t="str">
        <x:f>IF(D122="","",IF(V122&lt;&gt;"",V122,IF(J122="Walkover",IF(K122=XLOOKUP(D122,Fixtures!$A$5:$A$204,Fixtures!$D$5:$D$204,""),Rules!$C$12,IF(K122=XLOOKUP(D122,Fixtures!$A$5:$A$204,Fixtures!$F$5:$F$204,""),Rules!$C$13,"")),H122)))</x:f>
      </x:c>
      <x:c r="Y122" s="38" t="str">
        <x:f>IF(D122="","",IF(W122&lt;&gt;"",W122,IF(J122="Walkover",IF(K122=XLOOKUP(D122,Fixtures!$A$5:$A$204,Fixtures!$F$5:$F$204,""),Rules!$C$12,IF(K122=XLOOKUP(D122,Fixtures!$A$5:$A$204,Fixtures!$D$5:$D$204,""),Rules!$C$13,"")),I122)))</x:f>
      </x:c>
      <x:c r="Z122" s="38" t="str">
        <x:f>IF(D122="","",IF(AND(R122="Approved Current",OR(J122="Played",J122="Walkover")),"Yes","No"))</x:f>
      </x:c>
      <x:c r="AA122" s="38" t="str">
        <x:f>IF(D122="","",IF(AND(R122="Approved Current",COUNTIFS($D$5:$D$204,D122,$R$5:$R$204,"Approved Current")&gt;1),"Multiple Approved Current",IF(AND(J122="Walkover",K122=""),"Walkover missing winner","OK")))</x:f>
      </x:c>
    </x:row>
    <x:row r="123" ht="15" hidden="0" customHeight="1">
      <x:c r="A123" s="67"/>
      <x:c r="B123" s="38"/>
      <x:c r="C123" s="38"/>
      <x:c r="D123" s="38"/>
      <x:c r="E123" s="38" t="str">
        <x:f>IFERROR(XLOOKUP(D123,Fixtures!$A$5:$A$204,Fixtures!$M$5:$M$204,""),"")</x:f>
      </x:c>
      <x:c r="F123" s="38" t="str">
        <x:f>IFERROR(XLOOKUP(D123,Fixtures!$A$5:$A$204,Fixtures!$E$5:$E$204,""),"")</x:f>
      </x:c>
      <x:c r="G123" s="38" t="str">
        <x:f>IFERROR(XLOOKUP(D123,Fixtures!$A$5:$A$204,Fixtures!$G$5:$G$204,""),"")</x:f>
      </x:c>
      <x:c r="H123" s="38"/>
      <x:c r="I123" s="38"/>
      <x:c r="J123" s="38"/>
      <x:c r="K123" s="38"/>
      <x:c r="L123" s="60"/>
      <x:c r="M123" s="38"/>
      <x:c r="N123" s="38"/>
      <x:c r="O123" s="38"/>
      <x:c r="P123" s="38"/>
      <x:c r="Q123" s="38"/>
      <x:c r="R123" s="38"/>
      <x:c r="S123" s="38" t="str">
        <x:f>IF(R123="Approved Current","Yes","No")</x:f>
        <x:v>No</x:v>
      </x:c>
      <x:c r="T123" s="38"/>
      <x:c r="U123" s="38"/>
      <x:c r="V123" s="38"/>
      <x:c r="W123" s="38"/>
      <x:c r="X123" s="38" t="str">
        <x:f>IF(D123="","",IF(V123&lt;&gt;"",V123,IF(J123="Walkover",IF(K123=XLOOKUP(D123,Fixtures!$A$5:$A$204,Fixtures!$D$5:$D$204,""),Rules!$C$12,IF(K123=XLOOKUP(D123,Fixtures!$A$5:$A$204,Fixtures!$F$5:$F$204,""),Rules!$C$13,"")),H123)))</x:f>
      </x:c>
      <x:c r="Y123" s="38" t="str">
        <x:f>IF(D123="","",IF(W123&lt;&gt;"",W123,IF(J123="Walkover",IF(K123=XLOOKUP(D123,Fixtures!$A$5:$A$204,Fixtures!$F$5:$F$204,""),Rules!$C$12,IF(K123=XLOOKUP(D123,Fixtures!$A$5:$A$204,Fixtures!$D$5:$D$204,""),Rules!$C$13,"")),I123)))</x:f>
      </x:c>
      <x:c r="Z123" s="38" t="str">
        <x:f>IF(D123="","",IF(AND(R123="Approved Current",OR(J123="Played",J123="Walkover")),"Yes","No"))</x:f>
      </x:c>
      <x:c r="AA123" s="38" t="str">
        <x:f>IF(D123="","",IF(AND(R123="Approved Current",COUNTIFS($D$5:$D$204,D123,$R$5:$R$204,"Approved Current")&gt;1),"Multiple Approved Current",IF(AND(J123="Walkover",K123=""),"Walkover missing winner","OK")))</x:f>
      </x:c>
    </x:row>
    <x:row r="124" ht="15" hidden="0" customHeight="1">
      <x:c r="A124" s="67"/>
      <x:c r="B124" s="38"/>
      <x:c r="C124" s="38"/>
      <x:c r="D124" s="38"/>
      <x:c r="E124" s="38" t="str">
        <x:f>IFERROR(XLOOKUP(D124,Fixtures!$A$5:$A$204,Fixtures!$M$5:$M$204,""),"")</x:f>
      </x:c>
      <x:c r="F124" s="38" t="str">
        <x:f>IFERROR(XLOOKUP(D124,Fixtures!$A$5:$A$204,Fixtures!$E$5:$E$204,""),"")</x:f>
      </x:c>
      <x:c r="G124" s="38" t="str">
        <x:f>IFERROR(XLOOKUP(D124,Fixtures!$A$5:$A$204,Fixtures!$G$5:$G$204,""),"")</x:f>
      </x:c>
      <x:c r="H124" s="38"/>
      <x:c r="I124" s="38"/>
      <x:c r="J124" s="38"/>
      <x:c r="K124" s="38"/>
      <x:c r="L124" s="60"/>
      <x:c r="M124" s="38"/>
      <x:c r="N124" s="38"/>
      <x:c r="O124" s="38"/>
      <x:c r="P124" s="38"/>
      <x:c r="Q124" s="38"/>
      <x:c r="R124" s="38"/>
      <x:c r="S124" s="38" t="str">
        <x:f>IF(R124="Approved Current","Yes","No")</x:f>
        <x:v>No</x:v>
      </x:c>
      <x:c r="T124" s="38"/>
      <x:c r="U124" s="38"/>
      <x:c r="V124" s="38"/>
      <x:c r="W124" s="38"/>
      <x:c r="X124" s="38" t="str">
        <x:f>IF(D124="","",IF(V124&lt;&gt;"",V124,IF(J124="Walkover",IF(K124=XLOOKUP(D124,Fixtures!$A$5:$A$204,Fixtures!$D$5:$D$204,""),Rules!$C$12,IF(K124=XLOOKUP(D124,Fixtures!$A$5:$A$204,Fixtures!$F$5:$F$204,""),Rules!$C$13,"")),H124)))</x:f>
      </x:c>
      <x:c r="Y124" s="38" t="str">
        <x:f>IF(D124="","",IF(W124&lt;&gt;"",W124,IF(J124="Walkover",IF(K124=XLOOKUP(D124,Fixtures!$A$5:$A$204,Fixtures!$F$5:$F$204,""),Rules!$C$12,IF(K124=XLOOKUP(D124,Fixtures!$A$5:$A$204,Fixtures!$D$5:$D$204,""),Rules!$C$13,"")),I124)))</x:f>
      </x:c>
      <x:c r="Z124" s="38" t="str">
        <x:f>IF(D124="","",IF(AND(R124="Approved Current",OR(J124="Played",J124="Walkover")),"Yes","No"))</x:f>
      </x:c>
      <x:c r="AA124" s="38" t="str">
        <x:f>IF(D124="","",IF(AND(R124="Approved Current",COUNTIFS($D$5:$D$204,D124,$R$5:$R$204,"Approved Current")&gt;1),"Multiple Approved Current",IF(AND(J124="Walkover",K124=""),"Walkover missing winner","OK")))</x:f>
      </x:c>
    </x:row>
    <x:row r="125" ht="15" hidden="0" customHeight="1">
      <x:c r="A125" s="67"/>
      <x:c r="B125" s="38"/>
      <x:c r="C125" s="38"/>
      <x:c r="D125" s="38"/>
      <x:c r="E125" s="38" t="str">
        <x:f>IFERROR(XLOOKUP(D125,Fixtures!$A$5:$A$204,Fixtures!$M$5:$M$204,""),"")</x:f>
      </x:c>
      <x:c r="F125" s="38" t="str">
        <x:f>IFERROR(XLOOKUP(D125,Fixtures!$A$5:$A$204,Fixtures!$E$5:$E$204,""),"")</x:f>
      </x:c>
      <x:c r="G125" s="38" t="str">
        <x:f>IFERROR(XLOOKUP(D125,Fixtures!$A$5:$A$204,Fixtures!$G$5:$G$204,""),"")</x:f>
      </x:c>
      <x:c r="H125" s="38"/>
      <x:c r="I125" s="38"/>
      <x:c r="J125" s="38"/>
      <x:c r="K125" s="38"/>
      <x:c r="L125" s="60"/>
      <x:c r="M125" s="38"/>
      <x:c r="N125" s="38"/>
      <x:c r="O125" s="38"/>
      <x:c r="P125" s="38"/>
      <x:c r="Q125" s="38"/>
      <x:c r="R125" s="38"/>
      <x:c r="S125" s="38" t="str">
        <x:f>IF(R125="Approved Current","Yes","No")</x:f>
        <x:v>No</x:v>
      </x:c>
      <x:c r="T125" s="38"/>
      <x:c r="U125" s="38"/>
      <x:c r="V125" s="38"/>
      <x:c r="W125" s="38"/>
      <x:c r="X125" s="38" t="str">
        <x:f>IF(D125="","",IF(V125&lt;&gt;"",V125,IF(J125="Walkover",IF(K125=XLOOKUP(D125,Fixtures!$A$5:$A$204,Fixtures!$D$5:$D$204,""),Rules!$C$12,IF(K125=XLOOKUP(D125,Fixtures!$A$5:$A$204,Fixtures!$F$5:$F$204,""),Rules!$C$13,"")),H125)))</x:f>
      </x:c>
      <x:c r="Y125" s="38" t="str">
        <x:f>IF(D125="","",IF(W125&lt;&gt;"",W125,IF(J125="Walkover",IF(K125=XLOOKUP(D125,Fixtures!$A$5:$A$204,Fixtures!$F$5:$F$204,""),Rules!$C$12,IF(K125=XLOOKUP(D125,Fixtures!$A$5:$A$204,Fixtures!$D$5:$D$204,""),Rules!$C$13,"")),I125)))</x:f>
      </x:c>
      <x:c r="Z125" s="38" t="str">
        <x:f>IF(D125="","",IF(AND(R125="Approved Current",OR(J125="Played",J125="Walkover")),"Yes","No"))</x:f>
      </x:c>
      <x:c r="AA125" s="38" t="str">
        <x:f>IF(D125="","",IF(AND(R125="Approved Current",COUNTIFS($D$5:$D$204,D125,$R$5:$R$204,"Approved Current")&gt;1),"Multiple Approved Current",IF(AND(J125="Walkover",K125=""),"Walkover missing winner","OK")))</x:f>
      </x:c>
    </x:row>
    <x:row r="126" ht="15" hidden="0" customHeight="1">
      <x:c r="A126" s="67"/>
      <x:c r="B126" s="38"/>
      <x:c r="C126" s="38"/>
      <x:c r="D126" s="38"/>
      <x:c r="E126" s="38" t="str">
        <x:f>IFERROR(XLOOKUP(D126,Fixtures!$A$5:$A$204,Fixtures!$M$5:$M$204,""),"")</x:f>
      </x:c>
      <x:c r="F126" s="38" t="str">
        <x:f>IFERROR(XLOOKUP(D126,Fixtures!$A$5:$A$204,Fixtures!$E$5:$E$204,""),"")</x:f>
      </x:c>
      <x:c r="G126" s="38" t="str">
        <x:f>IFERROR(XLOOKUP(D126,Fixtures!$A$5:$A$204,Fixtures!$G$5:$G$204,""),"")</x:f>
      </x:c>
      <x:c r="H126" s="38"/>
      <x:c r="I126" s="38"/>
      <x:c r="J126" s="38"/>
      <x:c r="K126" s="38"/>
      <x:c r="L126" s="60"/>
      <x:c r="M126" s="38"/>
      <x:c r="N126" s="38"/>
      <x:c r="O126" s="38"/>
      <x:c r="P126" s="38"/>
      <x:c r="Q126" s="38"/>
      <x:c r="R126" s="38"/>
      <x:c r="S126" s="38" t="str">
        <x:f>IF(R126="Approved Current","Yes","No")</x:f>
        <x:v>No</x:v>
      </x:c>
      <x:c r="T126" s="38"/>
      <x:c r="U126" s="38"/>
      <x:c r="V126" s="38"/>
      <x:c r="W126" s="38"/>
      <x:c r="X126" s="38" t="str">
        <x:f>IF(D126="","",IF(V126&lt;&gt;"",V126,IF(J126="Walkover",IF(K126=XLOOKUP(D126,Fixtures!$A$5:$A$204,Fixtures!$D$5:$D$204,""),Rules!$C$12,IF(K126=XLOOKUP(D126,Fixtures!$A$5:$A$204,Fixtures!$F$5:$F$204,""),Rules!$C$13,"")),H126)))</x:f>
      </x:c>
      <x:c r="Y126" s="38" t="str">
        <x:f>IF(D126="","",IF(W126&lt;&gt;"",W126,IF(J126="Walkover",IF(K126=XLOOKUP(D126,Fixtures!$A$5:$A$204,Fixtures!$F$5:$F$204,""),Rules!$C$12,IF(K126=XLOOKUP(D126,Fixtures!$A$5:$A$204,Fixtures!$D$5:$D$204,""),Rules!$C$13,"")),I126)))</x:f>
      </x:c>
      <x:c r="Z126" s="38" t="str">
        <x:f>IF(D126="","",IF(AND(R126="Approved Current",OR(J126="Played",J126="Walkover")),"Yes","No"))</x:f>
      </x:c>
      <x:c r="AA126" s="38" t="str">
        <x:f>IF(D126="","",IF(AND(R126="Approved Current",COUNTIFS($D$5:$D$204,D126,$R$5:$R$204,"Approved Current")&gt;1),"Multiple Approved Current",IF(AND(J126="Walkover",K126=""),"Walkover missing winner","OK")))</x:f>
      </x:c>
    </x:row>
    <x:row r="127" ht="15" hidden="0" customHeight="1">
      <x:c r="A127" s="67"/>
      <x:c r="B127" s="38"/>
      <x:c r="C127" s="38"/>
      <x:c r="D127" s="38"/>
      <x:c r="E127" s="38" t="str">
        <x:f>IFERROR(XLOOKUP(D127,Fixtures!$A$5:$A$204,Fixtures!$M$5:$M$204,""),"")</x:f>
      </x:c>
      <x:c r="F127" s="38" t="str">
        <x:f>IFERROR(XLOOKUP(D127,Fixtures!$A$5:$A$204,Fixtures!$E$5:$E$204,""),"")</x:f>
      </x:c>
      <x:c r="G127" s="38" t="str">
        <x:f>IFERROR(XLOOKUP(D127,Fixtures!$A$5:$A$204,Fixtures!$G$5:$G$204,""),"")</x:f>
      </x:c>
      <x:c r="H127" s="38"/>
      <x:c r="I127" s="38"/>
      <x:c r="J127" s="38"/>
      <x:c r="K127" s="38"/>
      <x:c r="L127" s="60"/>
      <x:c r="M127" s="38"/>
      <x:c r="N127" s="38"/>
      <x:c r="O127" s="38"/>
      <x:c r="P127" s="38"/>
      <x:c r="Q127" s="38"/>
      <x:c r="R127" s="38"/>
      <x:c r="S127" s="38" t="str">
        <x:f>IF(R127="Approved Current","Yes","No")</x:f>
        <x:v>No</x:v>
      </x:c>
      <x:c r="T127" s="38"/>
      <x:c r="U127" s="38"/>
      <x:c r="V127" s="38"/>
      <x:c r="W127" s="38"/>
      <x:c r="X127" s="38" t="str">
        <x:f>IF(D127="","",IF(V127&lt;&gt;"",V127,IF(J127="Walkover",IF(K127=XLOOKUP(D127,Fixtures!$A$5:$A$204,Fixtures!$D$5:$D$204,""),Rules!$C$12,IF(K127=XLOOKUP(D127,Fixtures!$A$5:$A$204,Fixtures!$F$5:$F$204,""),Rules!$C$13,"")),H127)))</x:f>
      </x:c>
      <x:c r="Y127" s="38" t="str">
        <x:f>IF(D127="","",IF(W127&lt;&gt;"",W127,IF(J127="Walkover",IF(K127=XLOOKUP(D127,Fixtures!$A$5:$A$204,Fixtures!$F$5:$F$204,""),Rules!$C$12,IF(K127=XLOOKUP(D127,Fixtures!$A$5:$A$204,Fixtures!$D$5:$D$204,""),Rules!$C$13,"")),I127)))</x:f>
      </x:c>
      <x:c r="Z127" s="38" t="str">
        <x:f>IF(D127="","",IF(AND(R127="Approved Current",OR(J127="Played",J127="Walkover")),"Yes","No"))</x:f>
      </x:c>
      <x:c r="AA127" s="38" t="str">
        <x:f>IF(D127="","",IF(AND(R127="Approved Current",COUNTIFS($D$5:$D$204,D127,$R$5:$R$204,"Approved Current")&gt;1),"Multiple Approved Current",IF(AND(J127="Walkover",K127=""),"Walkover missing winner","OK")))</x:f>
      </x:c>
    </x:row>
    <x:row r="128" ht="15" hidden="0" customHeight="1">
      <x:c r="A128" s="67"/>
      <x:c r="B128" s="38"/>
      <x:c r="C128" s="38"/>
      <x:c r="D128" s="38"/>
      <x:c r="E128" s="38" t="str">
        <x:f>IFERROR(XLOOKUP(D128,Fixtures!$A$5:$A$204,Fixtures!$M$5:$M$204,""),"")</x:f>
      </x:c>
      <x:c r="F128" s="38" t="str">
        <x:f>IFERROR(XLOOKUP(D128,Fixtures!$A$5:$A$204,Fixtures!$E$5:$E$204,""),"")</x:f>
      </x:c>
      <x:c r="G128" s="38" t="str">
        <x:f>IFERROR(XLOOKUP(D128,Fixtures!$A$5:$A$204,Fixtures!$G$5:$G$204,""),"")</x:f>
      </x:c>
      <x:c r="H128" s="38"/>
      <x:c r="I128" s="38"/>
      <x:c r="J128" s="38"/>
      <x:c r="K128" s="38"/>
      <x:c r="L128" s="60"/>
      <x:c r="M128" s="38"/>
      <x:c r="N128" s="38"/>
      <x:c r="O128" s="38"/>
      <x:c r="P128" s="38"/>
      <x:c r="Q128" s="38"/>
      <x:c r="R128" s="38"/>
      <x:c r="S128" s="38" t="str">
        <x:f>IF(R128="Approved Current","Yes","No")</x:f>
        <x:v>No</x:v>
      </x:c>
      <x:c r="T128" s="38"/>
      <x:c r="U128" s="38"/>
      <x:c r="V128" s="38"/>
      <x:c r="W128" s="38"/>
      <x:c r="X128" s="38" t="str">
        <x:f>IF(D128="","",IF(V128&lt;&gt;"",V128,IF(J128="Walkover",IF(K128=XLOOKUP(D128,Fixtures!$A$5:$A$204,Fixtures!$D$5:$D$204,""),Rules!$C$12,IF(K128=XLOOKUP(D128,Fixtures!$A$5:$A$204,Fixtures!$F$5:$F$204,""),Rules!$C$13,"")),H128)))</x:f>
      </x:c>
      <x:c r="Y128" s="38" t="str">
        <x:f>IF(D128="","",IF(W128&lt;&gt;"",W128,IF(J128="Walkover",IF(K128=XLOOKUP(D128,Fixtures!$A$5:$A$204,Fixtures!$F$5:$F$204,""),Rules!$C$12,IF(K128=XLOOKUP(D128,Fixtures!$A$5:$A$204,Fixtures!$D$5:$D$204,""),Rules!$C$13,"")),I128)))</x:f>
      </x:c>
      <x:c r="Z128" s="38" t="str">
        <x:f>IF(D128="","",IF(AND(R128="Approved Current",OR(J128="Played",J128="Walkover")),"Yes","No"))</x:f>
      </x:c>
      <x:c r="AA128" s="38" t="str">
        <x:f>IF(D128="","",IF(AND(R128="Approved Current",COUNTIFS($D$5:$D$204,D128,$R$5:$R$204,"Approved Current")&gt;1),"Multiple Approved Current",IF(AND(J128="Walkover",K128=""),"Walkover missing winner","OK")))</x:f>
      </x:c>
    </x:row>
    <x:row r="129" ht="15" hidden="0" customHeight="1">
      <x:c r="A129" s="67"/>
      <x:c r="B129" s="38"/>
      <x:c r="C129" s="38"/>
      <x:c r="D129" s="38"/>
      <x:c r="E129" s="38" t="str">
        <x:f>IFERROR(XLOOKUP(D129,Fixtures!$A$5:$A$204,Fixtures!$M$5:$M$204,""),"")</x:f>
      </x:c>
      <x:c r="F129" s="38" t="str">
        <x:f>IFERROR(XLOOKUP(D129,Fixtures!$A$5:$A$204,Fixtures!$E$5:$E$204,""),"")</x:f>
      </x:c>
      <x:c r="G129" s="38" t="str">
        <x:f>IFERROR(XLOOKUP(D129,Fixtures!$A$5:$A$204,Fixtures!$G$5:$G$204,""),"")</x:f>
      </x:c>
      <x:c r="H129" s="38"/>
      <x:c r="I129" s="38"/>
      <x:c r="J129" s="38"/>
      <x:c r="K129" s="38"/>
      <x:c r="L129" s="60"/>
      <x:c r="M129" s="38"/>
      <x:c r="N129" s="38"/>
      <x:c r="O129" s="38"/>
      <x:c r="P129" s="38"/>
      <x:c r="Q129" s="38"/>
      <x:c r="R129" s="38"/>
      <x:c r="S129" s="38" t="str">
        <x:f>IF(R129="Approved Current","Yes","No")</x:f>
        <x:v>No</x:v>
      </x:c>
      <x:c r="T129" s="38"/>
      <x:c r="U129" s="38"/>
      <x:c r="V129" s="38"/>
      <x:c r="W129" s="38"/>
      <x:c r="X129" s="38" t="str">
        <x:f>IF(D129="","",IF(V129&lt;&gt;"",V129,IF(J129="Walkover",IF(K129=XLOOKUP(D129,Fixtures!$A$5:$A$204,Fixtures!$D$5:$D$204,""),Rules!$C$12,IF(K129=XLOOKUP(D129,Fixtures!$A$5:$A$204,Fixtures!$F$5:$F$204,""),Rules!$C$13,"")),H129)))</x:f>
      </x:c>
      <x:c r="Y129" s="38" t="str">
        <x:f>IF(D129="","",IF(W129&lt;&gt;"",W129,IF(J129="Walkover",IF(K129=XLOOKUP(D129,Fixtures!$A$5:$A$204,Fixtures!$F$5:$F$204,""),Rules!$C$12,IF(K129=XLOOKUP(D129,Fixtures!$A$5:$A$204,Fixtures!$D$5:$D$204,""),Rules!$C$13,"")),I129)))</x:f>
      </x:c>
      <x:c r="Z129" s="38" t="str">
        <x:f>IF(D129="","",IF(AND(R129="Approved Current",OR(J129="Played",J129="Walkover")),"Yes","No"))</x:f>
      </x:c>
      <x:c r="AA129" s="38" t="str">
        <x:f>IF(D129="","",IF(AND(R129="Approved Current",COUNTIFS($D$5:$D$204,D129,$R$5:$R$204,"Approved Current")&gt;1),"Multiple Approved Current",IF(AND(J129="Walkover",K129=""),"Walkover missing winner","OK")))</x:f>
      </x:c>
    </x:row>
    <x:row r="130" ht="15" hidden="0" customHeight="1">
      <x:c r="A130" s="67"/>
      <x:c r="B130" s="38"/>
      <x:c r="C130" s="38"/>
      <x:c r="D130" s="38"/>
      <x:c r="E130" s="38" t="str">
        <x:f>IFERROR(XLOOKUP(D130,Fixtures!$A$5:$A$204,Fixtures!$M$5:$M$204,""),"")</x:f>
      </x:c>
      <x:c r="F130" s="38" t="str">
        <x:f>IFERROR(XLOOKUP(D130,Fixtures!$A$5:$A$204,Fixtures!$E$5:$E$204,""),"")</x:f>
      </x:c>
      <x:c r="G130" s="38" t="str">
        <x:f>IFERROR(XLOOKUP(D130,Fixtures!$A$5:$A$204,Fixtures!$G$5:$G$204,""),"")</x:f>
      </x:c>
      <x:c r="H130" s="38"/>
      <x:c r="I130" s="38"/>
      <x:c r="J130" s="38"/>
      <x:c r="K130" s="38"/>
      <x:c r="L130" s="60"/>
      <x:c r="M130" s="38"/>
      <x:c r="N130" s="38"/>
      <x:c r="O130" s="38"/>
      <x:c r="P130" s="38"/>
      <x:c r="Q130" s="38"/>
      <x:c r="R130" s="38"/>
      <x:c r="S130" s="38" t="str">
        <x:f>IF(R130="Approved Current","Yes","No")</x:f>
        <x:v>No</x:v>
      </x:c>
      <x:c r="T130" s="38"/>
      <x:c r="U130" s="38"/>
      <x:c r="V130" s="38"/>
      <x:c r="W130" s="38"/>
      <x:c r="X130" s="38" t="str">
        <x:f>IF(D130="","",IF(V130&lt;&gt;"",V130,IF(J130="Walkover",IF(K130=XLOOKUP(D130,Fixtures!$A$5:$A$204,Fixtures!$D$5:$D$204,""),Rules!$C$12,IF(K130=XLOOKUP(D130,Fixtures!$A$5:$A$204,Fixtures!$F$5:$F$204,""),Rules!$C$13,"")),H130)))</x:f>
      </x:c>
      <x:c r="Y130" s="38" t="str">
        <x:f>IF(D130="","",IF(W130&lt;&gt;"",W130,IF(J130="Walkover",IF(K130=XLOOKUP(D130,Fixtures!$A$5:$A$204,Fixtures!$F$5:$F$204,""),Rules!$C$12,IF(K130=XLOOKUP(D130,Fixtures!$A$5:$A$204,Fixtures!$D$5:$D$204,""),Rules!$C$13,"")),I130)))</x:f>
      </x:c>
      <x:c r="Z130" s="38" t="str">
        <x:f>IF(D130="","",IF(AND(R130="Approved Current",OR(J130="Played",J130="Walkover")),"Yes","No"))</x:f>
      </x:c>
      <x:c r="AA130" s="38" t="str">
        <x:f>IF(D130="","",IF(AND(R130="Approved Current",COUNTIFS($D$5:$D$204,D130,$R$5:$R$204,"Approved Current")&gt;1),"Multiple Approved Current",IF(AND(J130="Walkover",K130=""),"Walkover missing winner","OK")))</x:f>
      </x:c>
    </x:row>
    <x:row r="131" ht="15" hidden="0" customHeight="1">
      <x:c r="A131" s="67"/>
      <x:c r="B131" s="38"/>
      <x:c r="C131" s="38"/>
      <x:c r="D131" s="38"/>
      <x:c r="E131" s="38" t="str">
        <x:f>IFERROR(XLOOKUP(D131,Fixtures!$A$5:$A$204,Fixtures!$M$5:$M$204,""),"")</x:f>
      </x:c>
      <x:c r="F131" s="38" t="str">
        <x:f>IFERROR(XLOOKUP(D131,Fixtures!$A$5:$A$204,Fixtures!$E$5:$E$204,""),"")</x:f>
      </x:c>
      <x:c r="G131" s="38" t="str">
        <x:f>IFERROR(XLOOKUP(D131,Fixtures!$A$5:$A$204,Fixtures!$G$5:$G$204,""),"")</x:f>
      </x:c>
      <x:c r="H131" s="38"/>
      <x:c r="I131" s="38"/>
      <x:c r="J131" s="38"/>
      <x:c r="K131" s="38"/>
      <x:c r="L131" s="60"/>
      <x:c r="M131" s="38"/>
      <x:c r="N131" s="38"/>
      <x:c r="O131" s="38"/>
      <x:c r="P131" s="38"/>
      <x:c r="Q131" s="38"/>
      <x:c r="R131" s="38"/>
      <x:c r="S131" s="38" t="str">
        <x:f>IF(R131="Approved Current","Yes","No")</x:f>
        <x:v>No</x:v>
      </x:c>
      <x:c r="T131" s="38"/>
      <x:c r="U131" s="38"/>
      <x:c r="V131" s="38"/>
      <x:c r="W131" s="38"/>
      <x:c r="X131" s="38" t="str">
        <x:f>IF(D131="","",IF(V131&lt;&gt;"",V131,IF(J131="Walkover",IF(K131=XLOOKUP(D131,Fixtures!$A$5:$A$204,Fixtures!$D$5:$D$204,""),Rules!$C$12,IF(K131=XLOOKUP(D131,Fixtures!$A$5:$A$204,Fixtures!$F$5:$F$204,""),Rules!$C$13,"")),H131)))</x:f>
      </x:c>
      <x:c r="Y131" s="38" t="str">
        <x:f>IF(D131="","",IF(W131&lt;&gt;"",W131,IF(J131="Walkover",IF(K131=XLOOKUP(D131,Fixtures!$A$5:$A$204,Fixtures!$F$5:$F$204,""),Rules!$C$12,IF(K131=XLOOKUP(D131,Fixtures!$A$5:$A$204,Fixtures!$D$5:$D$204,""),Rules!$C$13,"")),I131)))</x:f>
      </x:c>
      <x:c r="Z131" s="38" t="str">
        <x:f>IF(D131="","",IF(AND(R131="Approved Current",OR(J131="Played",J131="Walkover")),"Yes","No"))</x:f>
      </x:c>
      <x:c r="AA131" s="38" t="str">
        <x:f>IF(D131="","",IF(AND(R131="Approved Current",COUNTIFS($D$5:$D$204,D131,$R$5:$R$204,"Approved Current")&gt;1),"Multiple Approved Current",IF(AND(J131="Walkover",K131=""),"Walkover missing winner","OK")))</x:f>
      </x:c>
    </x:row>
    <x:row r="132" ht="15" hidden="0" customHeight="1">
      <x:c r="A132" s="67"/>
      <x:c r="B132" s="38"/>
      <x:c r="C132" s="38"/>
      <x:c r="D132" s="38"/>
      <x:c r="E132" s="38" t="str">
        <x:f>IFERROR(XLOOKUP(D132,Fixtures!$A$5:$A$204,Fixtures!$M$5:$M$204,""),"")</x:f>
      </x:c>
      <x:c r="F132" s="38" t="str">
        <x:f>IFERROR(XLOOKUP(D132,Fixtures!$A$5:$A$204,Fixtures!$E$5:$E$204,""),"")</x:f>
      </x:c>
      <x:c r="G132" s="38" t="str">
        <x:f>IFERROR(XLOOKUP(D132,Fixtures!$A$5:$A$204,Fixtures!$G$5:$G$204,""),"")</x:f>
      </x:c>
      <x:c r="H132" s="38"/>
      <x:c r="I132" s="38"/>
      <x:c r="J132" s="38"/>
      <x:c r="K132" s="38"/>
      <x:c r="L132" s="60"/>
      <x:c r="M132" s="38"/>
      <x:c r="N132" s="38"/>
      <x:c r="O132" s="38"/>
      <x:c r="P132" s="38"/>
      <x:c r="Q132" s="38"/>
      <x:c r="R132" s="38"/>
      <x:c r="S132" s="38" t="str">
        <x:f>IF(R132="Approved Current","Yes","No")</x:f>
        <x:v>No</x:v>
      </x:c>
      <x:c r="T132" s="38"/>
      <x:c r="U132" s="38"/>
      <x:c r="V132" s="38"/>
      <x:c r="W132" s="38"/>
      <x:c r="X132" s="38" t="str">
        <x:f>IF(D132="","",IF(V132&lt;&gt;"",V132,IF(J132="Walkover",IF(K132=XLOOKUP(D132,Fixtures!$A$5:$A$204,Fixtures!$D$5:$D$204,""),Rules!$C$12,IF(K132=XLOOKUP(D132,Fixtures!$A$5:$A$204,Fixtures!$F$5:$F$204,""),Rules!$C$13,"")),H132)))</x:f>
      </x:c>
      <x:c r="Y132" s="38" t="str">
        <x:f>IF(D132="","",IF(W132&lt;&gt;"",W132,IF(J132="Walkover",IF(K132=XLOOKUP(D132,Fixtures!$A$5:$A$204,Fixtures!$F$5:$F$204,""),Rules!$C$12,IF(K132=XLOOKUP(D132,Fixtures!$A$5:$A$204,Fixtures!$D$5:$D$204,""),Rules!$C$13,"")),I132)))</x:f>
      </x:c>
      <x:c r="Z132" s="38" t="str">
        <x:f>IF(D132="","",IF(AND(R132="Approved Current",OR(J132="Played",J132="Walkover")),"Yes","No"))</x:f>
      </x:c>
      <x:c r="AA132" s="38" t="str">
        <x:f>IF(D132="","",IF(AND(R132="Approved Current",COUNTIFS($D$5:$D$204,D132,$R$5:$R$204,"Approved Current")&gt;1),"Multiple Approved Current",IF(AND(J132="Walkover",K132=""),"Walkover missing winner","OK")))</x:f>
      </x:c>
    </x:row>
    <x:row r="133" ht="15" hidden="0" customHeight="1">
      <x:c r="A133" s="67"/>
      <x:c r="B133" s="38"/>
      <x:c r="C133" s="38"/>
      <x:c r="D133" s="38"/>
      <x:c r="E133" s="38" t="str">
        <x:f>IFERROR(XLOOKUP(D133,Fixtures!$A$5:$A$204,Fixtures!$M$5:$M$204,""),"")</x:f>
      </x:c>
      <x:c r="F133" s="38" t="str">
        <x:f>IFERROR(XLOOKUP(D133,Fixtures!$A$5:$A$204,Fixtures!$E$5:$E$204,""),"")</x:f>
      </x:c>
      <x:c r="G133" s="38" t="str">
        <x:f>IFERROR(XLOOKUP(D133,Fixtures!$A$5:$A$204,Fixtures!$G$5:$G$204,""),"")</x:f>
      </x:c>
      <x:c r="H133" s="38"/>
      <x:c r="I133" s="38"/>
      <x:c r="J133" s="38"/>
      <x:c r="K133" s="38"/>
      <x:c r="L133" s="60"/>
      <x:c r="M133" s="38"/>
      <x:c r="N133" s="38"/>
      <x:c r="O133" s="38"/>
      <x:c r="P133" s="38"/>
      <x:c r="Q133" s="38"/>
      <x:c r="R133" s="38"/>
      <x:c r="S133" s="38" t="str">
        <x:f>IF(R133="Approved Current","Yes","No")</x:f>
        <x:v>No</x:v>
      </x:c>
      <x:c r="T133" s="38"/>
      <x:c r="U133" s="38"/>
      <x:c r="V133" s="38"/>
      <x:c r="W133" s="38"/>
      <x:c r="X133" s="38" t="str">
        <x:f>IF(D133="","",IF(V133&lt;&gt;"",V133,IF(J133="Walkover",IF(K133=XLOOKUP(D133,Fixtures!$A$5:$A$204,Fixtures!$D$5:$D$204,""),Rules!$C$12,IF(K133=XLOOKUP(D133,Fixtures!$A$5:$A$204,Fixtures!$F$5:$F$204,""),Rules!$C$13,"")),H133)))</x:f>
      </x:c>
      <x:c r="Y133" s="38" t="str">
        <x:f>IF(D133="","",IF(W133&lt;&gt;"",W133,IF(J133="Walkover",IF(K133=XLOOKUP(D133,Fixtures!$A$5:$A$204,Fixtures!$F$5:$F$204,""),Rules!$C$12,IF(K133=XLOOKUP(D133,Fixtures!$A$5:$A$204,Fixtures!$D$5:$D$204,""),Rules!$C$13,"")),I133)))</x:f>
      </x:c>
      <x:c r="Z133" s="38" t="str">
        <x:f>IF(D133="","",IF(AND(R133="Approved Current",OR(J133="Played",J133="Walkover")),"Yes","No"))</x:f>
      </x:c>
      <x:c r="AA133" s="38" t="str">
        <x:f>IF(D133="","",IF(AND(R133="Approved Current",COUNTIFS($D$5:$D$204,D133,$R$5:$R$204,"Approved Current")&gt;1),"Multiple Approved Current",IF(AND(J133="Walkover",K133=""),"Walkover missing winner","OK")))</x:f>
      </x:c>
    </x:row>
    <x:row r="134" ht="15" hidden="0" customHeight="1">
      <x:c r="A134" s="67"/>
      <x:c r="B134" s="38"/>
      <x:c r="C134" s="38"/>
      <x:c r="D134" s="38"/>
      <x:c r="E134" s="38" t="str">
        <x:f>IFERROR(XLOOKUP(D134,Fixtures!$A$5:$A$204,Fixtures!$M$5:$M$204,""),"")</x:f>
      </x:c>
      <x:c r="F134" s="38" t="str">
        <x:f>IFERROR(XLOOKUP(D134,Fixtures!$A$5:$A$204,Fixtures!$E$5:$E$204,""),"")</x:f>
      </x:c>
      <x:c r="G134" s="38" t="str">
        <x:f>IFERROR(XLOOKUP(D134,Fixtures!$A$5:$A$204,Fixtures!$G$5:$G$204,""),"")</x:f>
      </x:c>
      <x:c r="H134" s="38"/>
      <x:c r="I134" s="38"/>
      <x:c r="J134" s="38"/>
      <x:c r="K134" s="38"/>
      <x:c r="L134" s="60"/>
      <x:c r="M134" s="38"/>
      <x:c r="N134" s="38"/>
      <x:c r="O134" s="38"/>
      <x:c r="P134" s="38"/>
      <x:c r="Q134" s="38"/>
      <x:c r="R134" s="38"/>
      <x:c r="S134" s="38" t="str">
        <x:f>IF(R134="Approved Current","Yes","No")</x:f>
        <x:v>No</x:v>
      </x:c>
      <x:c r="T134" s="38"/>
      <x:c r="U134" s="38"/>
      <x:c r="V134" s="38"/>
      <x:c r="W134" s="38"/>
      <x:c r="X134" s="38" t="str">
        <x:f>IF(D134="","",IF(V134&lt;&gt;"",V134,IF(J134="Walkover",IF(K134=XLOOKUP(D134,Fixtures!$A$5:$A$204,Fixtures!$D$5:$D$204,""),Rules!$C$12,IF(K134=XLOOKUP(D134,Fixtures!$A$5:$A$204,Fixtures!$F$5:$F$204,""),Rules!$C$13,"")),H134)))</x:f>
      </x:c>
      <x:c r="Y134" s="38" t="str">
        <x:f>IF(D134="","",IF(W134&lt;&gt;"",W134,IF(J134="Walkover",IF(K134=XLOOKUP(D134,Fixtures!$A$5:$A$204,Fixtures!$F$5:$F$204,""),Rules!$C$12,IF(K134=XLOOKUP(D134,Fixtures!$A$5:$A$204,Fixtures!$D$5:$D$204,""),Rules!$C$13,"")),I134)))</x:f>
      </x:c>
      <x:c r="Z134" s="38" t="str">
        <x:f>IF(D134="","",IF(AND(R134="Approved Current",OR(J134="Played",J134="Walkover")),"Yes","No"))</x:f>
      </x:c>
      <x:c r="AA134" s="38" t="str">
        <x:f>IF(D134="","",IF(AND(R134="Approved Current",COUNTIFS($D$5:$D$204,D134,$R$5:$R$204,"Approved Current")&gt;1),"Multiple Approved Current",IF(AND(J134="Walkover",K134=""),"Walkover missing winner","OK")))</x:f>
      </x:c>
    </x:row>
    <x:row r="135" ht="15" hidden="0" customHeight="1">
      <x:c r="A135" s="67"/>
      <x:c r="B135" s="38"/>
      <x:c r="C135" s="38"/>
      <x:c r="D135" s="38"/>
      <x:c r="E135" s="38" t="str">
        <x:f>IFERROR(XLOOKUP(D135,Fixtures!$A$5:$A$204,Fixtures!$M$5:$M$204,""),"")</x:f>
      </x:c>
      <x:c r="F135" s="38" t="str">
        <x:f>IFERROR(XLOOKUP(D135,Fixtures!$A$5:$A$204,Fixtures!$E$5:$E$204,""),"")</x:f>
      </x:c>
      <x:c r="G135" s="38" t="str">
        <x:f>IFERROR(XLOOKUP(D135,Fixtures!$A$5:$A$204,Fixtures!$G$5:$G$204,""),"")</x:f>
      </x:c>
      <x:c r="H135" s="38"/>
      <x:c r="I135" s="38"/>
      <x:c r="J135" s="38"/>
      <x:c r="K135" s="38"/>
      <x:c r="L135" s="60"/>
      <x:c r="M135" s="38"/>
      <x:c r="N135" s="38"/>
      <x:c r="O135" s="38"/>
      <x:c r="P135" s="38"/>
      <x:c r="Q135" s="38"/>
      <x:c r="R135" s="38"/>
      <x:c r="S135" s="38" t="str">
        <x:f>IF(R135="Approved Current","Yes","No")</x:f>
        <x:v>No</x:v>
      </x:c>
      <x:c r="T135" s="38"/>
      <x:c r="U135" s="38"/>
      <x:c r="V135" s="38"/>
      <x:c r="W135" s="38"/>
      <x:c r="X135" s="38" t="str">
        <x:f>IF(D135="","",IF(V135&lt;&gt;"",V135,IF(J135="Walkover",IF(K135=XLOOKUP(D135,Fixtures!$A$5:$A$204,Fixtures!$D$5:$D$204,""),Rules!$C$12,IF(K135=XLOOKUP(D135,Fixtures!$A$5:$A$204,Fixtures!$F$5:$F$204,""),Rules!$C$13,"")),H135)))</x:f>
      </x:c>
      <x:c r="Y135" s="38" t="str">
        <x:f>IF(D135="","",IF(W135&lt;&gt;"",W135,IF(J135="Walkover",IF(K135=XLOOKUP(D135,Fixtures!$A$5:$A$204,Fixtures!$F$5:$F$204,""),Rules!$C$12,IF(K135=XLOOKUP(D135,Fixtures!$A$5:$A$204,Fixtures!$D$5:$D$204,""),Rules!$C$13,"")),I135)))</x:f>
      </x:c>
      <x:c r="Z135" s="38" t="str">
        <x:f>IF(D135="","",IF(AND(R135="Approved Current",OR(J135="Played",J135="Walkover")),"Yes","No"))</x:f>
      </x:c>
      <x:c r="AA135" s="38" t="str">
        <x:f>IF(D135="","",IF(AND(R135="Approved Current",COUNTIFS($D$5:$D$204,D135,$R$5:$R$204,"Approved Current")&gt;1),"Multiple Approved Current",IF(AND(J135="Walkover",K135=""),"Walkover missing winner","OK")))</x:f>
      </x:c>
    </x:row>
    <x:row r="136" ht="15" hidden="0" customHeight="1">
      <x:c r="A136" s="67"/>
      <x:c r="B136" s="38"/>
      <x:c r="C136" s="38"/>
      <x:c r="D136" s="38"/>
      <x:c r="E136" s="38" t="str">
        <x:f>IFERROR(XLOOKUP(D136,Fixtures!$A$5:$A$204,Fixtures!$M$5:$M$204,""),"")</x:f>
      </x:c>
      <x:c r="F136" s="38" t="str">
        <x:f>IFERROR(XLOOKUP(D136,Fixtures!$A$5:$A$204,Fixtures!$E$5:$E$204,""),"")</x:f>
      </x:c>
      <x:c r="G136" s="38" t="str">
        <x:f>IFERROR(XLOOKUP(D136,Fixtures!$A$5:$A$204,Fixtures!$G$5:$G$204,""),"")</x:f>
      </x:c>
      <x:c r="H136" s="38"/>
      <x:c r="I136" s="38"/>
      <x:c r="J136" s="38"/>
      <x:c r="K136" s="38"/>
      <x:c r="L136" s="60"/>
      <x:c r="M136" s="38"/>
      <x:c r="N136" s="38"/>
      <x:c r="O136" s="38"/>
      <x:c r="P136" s="38"/>
      <x:c r="Q136" s="38"/>
      <x:c r="R136" s="38"/>
      <x:c r="S136" s="38" t="str">
        <x:f>IF(R136="Approved Current","Yes","No")</x:f>
        <x:v>No</x:v>
      </x:c>
      <x:c r="T136" s="38"/>
      <x:c r="U136" s="38"/>
      <x:c r="V136" s="38"/>
      <x:c r="W136" s="38"/>
      <x:c r="X136" s="38" t="str">
        <x:f>IF(D136="","",IF(V136&lt;&gt;"",V136,IF(J136="Walkover",IF(K136=XLOOKUP(D136,Fixtures!$A$5:$A$204,Fixtures!$D$5:$D$204,""),Rules!$C$12,IF(K136=XLOOKUP(D136,Fixtures!$A$5:$A$204,Fixtures!$F$5:$F$204,""),Rules!$C$13,"")),H136)))</x:f>
      </x:c>
      <x:c r="Y136" s="38" t="str">
        <x:f>IF(D136="","",IF(W136&lt;&gt;"",W136,IF(J136="Walkover",IF(K136=XLOOKUP(D136,Fixtures!$A$5:$A$204,Fixtures!$F$5:$F$204,""),Rules!$C$12,IF(K136=XLOOKUP(D136,Fixtures!$A$5:$A$204,Fixtures!$D$5:$D$204,""),Rules!$C$13,"")),I136)))</x:f>
      </x:c>
      <x:c r="Z136" s="38" t="str">
        <x:f>IF(D136="","",IF(AND(R136="Approved Current",OR(J136="Played",J136="Walkover")),"Yes","No"))</x:f>
      </x:c>
      <x:c r="AA136" s="38" t="str">
        <x:f>IF(D136="","",IF(AND(R136="Approved Current",COUNTIFS($D$5:$D$204,D136,$R$5:$R$204,"Approved Current")&gt;1),"Multiple Approved Current",IF(AND(J136="Walkover",K136=""),"Walkover missing winner","OK")))</x:f>
      </x:c>
    </x:row>
    <x:row r="137" ht="15" hidden="0" customHeight="1">
      <x:c r="A137" s="67"/>
      <x:c r="B137" s="38"/>
      <x:c r="C137" s="38"/>
      <x:c r="D137" s="38"/>
      <x:c r="E137" s="38" t="str">
        <x:f>IFERROR(XLOOKUP(D137,Fixtures!$A$5:$A$204,Fixtures!$M$5:$M$204,""),"")</x:f>
      </x:c>
      <x:c r="F137" s="38" t="str">
        <x:f>IFERROR(XLOOKUP(D137,Fixtures!$A$5:$A$204,Fixtures!$E$5:$E$204,""),"")</x:f>
      </x:c>
      <x:c r="G137" s="38" t="str">
        <x:f>IFERROR(XLOOKUP(D137,Fixtures!$A$5:$A$204,Fixtures!$G$5:$G$204,""),"")</x:f>
      </x:c>
      <x:c r="H137" s="38"/>
      <x:c r="I137" s="38"/>
      <x:c r="J137" s="38"/>
      <x:c r="K137" s="38"/>
      <x:c r="L137" s="60"/>
      <x:c r="M137" s="38"/>
      <x:c r="N137" s="38"/>
      <x:c r="O137" s="38"/>
      <x:c r="P137" s="38"/>
      <x:c r="Q137" s="38"/>
      <x:c r="R137" s="38"/>
      <x:c r="S137" s="38" t="str">
        <x:f>IF(R137="Approved Current","Yes","No")</x:f>
        <x:v>No</x:v>
      </x:c>
      <x:c r="T137" s="38"/>
      <x:c r="U137" s="38"/>
      <x:c r="V137" s="38"/>
      <x:c r="W137" s="38"/>
      <x:c r="X137" s="38" t="str">
        <x:f>IF(D137="","",IF(V137&lt;&gt;"",V137,IF(J137="Walkover",IF(K137=XLOOKUP(D137,Fixtures!$A$5:$A$204,Fixtures!$D$5:$D$204,""),Rules!$C$12,IF(K137=XLOOKUP(D137,Fixtures!$A$5:$A$204,Fixtures!$F$5:$F$204,""),Rules!$C$13,"")),H137)))</x:f>
      </x:c>
      <x:c r="Y137" s="38" t="str">
        <x:f>IF(D137="","",IF(W137&lt;&gt;"",W137,IF(J137="Walkover",IF(K137=XLOOKUP(D137,Fixtures!$A$5:$A$204,Fixtures!$F$5:$F$204,""),Rules!$C$12,IF(K137=XLOOKUP(D137,Fixtures!$A$5:$A$204,Fixtures!$D$5:$D$204,""),Rules!$C$13,"")),I137)))</x:f>
      </x:c>
      <x:c r="Z137" s="38" t="str">
        <x:f>IF(D137="","",IF(AND(R137="Approved Current",OR(J137="Played",J137="Walkover")),"Yes","No"))</x:f>
      </x:c>
      <x:c r="AA137" s="38" t="str">
        <x:f>IF(D137="","",IF(AND(R137="Approved Current",COUNTIFS($D$5:$D$204,D137,$R$5:$R$204,"Approved Current")&gt;1),"Multiple Approved Current",IF(AND(J137="Walkover",K137=""),"Walkover missing winner","OK")))</x:f>
      </x:c>
    </x:row>
    <x:row r="138" ht="15" hidden="0" customHeight="1">
      <x:c r="A138" s="67"/>
      <x:c r="B138" s="38"/>
      <x:c r="C138" s="38"/>
      <x:c r="D138" s="38"/>
      <x:c r="E138" s="38" t="str">
        <x:f>IFERROR(XLOOKUP(D138,Fixtures!$A$5:$A$204,Fixtures!$M$5:$M$204,""),"")</x:f>
      </x:c>
      <x:c r="F138" s="38" t="str">
        <x:f>IFERROR(XLOOKUP(D138,Fixtures!$A$5:$A$204,Fixtures!$E$5:$E$204,""),"")</x:f>
      </x:c>
      <x:c r="G138" s="38" t="str">
        <x:f>IFERROR(XLOOKUP(D138,Fixtures!$A$5:$A$204,Fixtures!$G$5:$G$204,""),"")</x:f>
      </x:c>
      <x:c r="H138" s="38"/>
      <x:c r="I138" s="38"/>
      <x:c r="J138" s="38"/>
      <x:c r="K138" s="38"/>
      <x:c r="L138" s="60"/>
      <x:c r="M138" s="38"/>
      <x:c r="N138" s="38"/>
      <x:c r="O138" s="38"/>
      <x:c r="P138" s="38"/>
      <x:c r="Q138" s="38"/>
      <x:c r="R138" s="38"/>
      <x:c r="S138" s="38" t="str">
        <x:f>IF(R138="Approved Current","Yes","No")</x:f>
        <x:v>No</x:v>
      </x:c>
      <x:c r="T138" s="38"/>
      <x:c r="U138" s="38"/>
      <x:c r="V138" s="38"/>
      <x:c r="W138" s="38"/>
      <x:c r="X138" s="38" t="str">
        <x:f>IF(D138="","",IF(V138&lt;&gt;"",V138,IF(J138="Walkover",IF(K138=XLOOKUP(D138,Fixtures!$A$5:$A$204,Fixtures!$D$5:$D$204,""),Rules!$C$12,IF(K138=XLOOKUP(D138,Fixtures!$A$5:$A$204,Fixtures!$F$5:$F$204,""),Rules!$C$13,"")),H138)))</x:f>
      </x:c>
      <x:c r="Y138" s="38" t="str">
        <x:f>IF(D138="","",IF(W138&lt;&gt;"",W138,IF(J138="Walkover",IF(K138=XLOOKUP(D138,Fixtures!$A$5:$A$204,Fixtures!$F$5:$F$204,""),Rules!$C$12,IF(K138=XLOOKUP(D138,Fixtures!$A$5:$A$204,Fixtures!$D$5:$D$204,""),Rules!$C$13,"")),I138)))</x:f>
      </x:c>
      <x:c r="Z138" s="38" t="str">
        <x:f>IF(D138="","",IF(AND(R138="Approved Current",OR(J138="Played",J138="Walkover")),"Yes","No"))</x:f>
      </x:c>
      <x:c r="AA138" s="38" t="str">
        <x:f>IF(D138="","",IF(AND(R138="Approved Current",COUNTIFS($D$5:$D$204,D138,$R$5:$R$204,"Approved Current")&gt;1),"Multiple Approved Current",IF(AND(J138="Walkover",K138=""),"Walkover missing winner","OK")))</x:f>
      </x:c>
    </x:row>
    <x:row r="139" ht="15" hidden="0" customHeight="1">
      <x:c r="A139" s="67"/>
      <x:c r="B139" s="38"/>
      <x:c r="C139" s="38"/>
      <x:c r="D139" s="38"/>
      <x:c r="E139" s="38" t="str">
        <x:f>IFERROR(XLOOKUP(D139,Fixtures!$A$5:$A$204,Fixtures!$M$5:$M$204,""),"")</x:f>
      </x:c>
      <x:c r="F139" s="38" t="str">
        <x:f>IFERROR(XLOOKUP(D139,Fixtures!$A$5:$A$204,Fixtures!$E$5:$E$204,""),"")</x:f>
      </x:c>
      <x:c r="G139" s="38" t="str">
        <x:f>IFERROR(XLOOKUP(D139,Fixtures!$A$5:$A$204,Fixtures!$G$5:$G$204,""),"")</x:f>
      </x:c>
      <x:c r="H139" s="38"/>
      <x:c r="I139" s="38"/>
      <x:c r="J139" s="38"/>
      <x:c r="K139" s="38"/>
      <x:c r="L139" s="60"/>
      <x:c r="M139" s="38"/>
      <x:c r="N139" s="38"/>
      <x:c r="O139" s="38"/>
      <x:c r="P139" s="38"/>
      <x:c r="Q139" s="38"/>
      <x:c r="R139" s="38"/>
      <x:c r="S139" s="38" t="str">
        <x:f>IF(R139="Approved Current","Yes","No")</x:f>
        <x:v>No</x:v>
      </x:c>
      <x:c r="T139" s="38"/>
      <x:c r="U139" s="38"/>
      <x:c r="V139" s="38"/>
      <x:c r="W139" s="38"/>
      <x:c r="X139" s="38" t="str">
        <x:f>IF(D139="","",IF(V139&lt;&gt;"",V139,IF(J139="Walkover",IF(K139=XLOOKUP(D139,Fixtures!$A$5:$A$204,Fixtures!$D$5:$D$204,""),Rules!$C$12,IF(K139=XLOOKUP(D139,Fixtures!$A$5:$A$204,Fixtures!$F$5:$F$204,""),Rules!$C$13,"")),H139)))</x:f>
      </x:c>
      <x:c r="Y139" s="38" t="str">
        <x:f>IF(D139="","",IF(W139&lt;&gt;"",W139,IF(J139="Walkover",IF(K139=XLOOKUP(D139,Fixtures!$A$5:$A$204,Fixtures!$F$5:$F$204,""),Rules!$C$12,IF(K139=XLOOKUP(D139,Fixtures!$A$5:$A$204,Fixtures!$D$5:$D$204,""),Rules!$C$13,"")),I139)))</x:f>
      </x:c>
      <x:c r="Z139" s="38" t="str">
        <x:f>IF(D139="","",IF(AND(R139="Approved Current",OR(J139="Played",J139="Walkover")),"Yes","No"))</x:f>
      </x:c>
      <x:c r="AA139" s="38" t="str">
        <x:f>IF(D139="","",IF(AND(R139="Approved Current",COUNTIFS($D$5:$D$204,D139,$R$5:$R$204,"Approved Current")&gt;1),"Multiple Approved Current",IF(AND(J139="Walkover",K139=""),"Walkover missing winner","OK")))</x:f>
      </x:c>
    </x:row>
    <x:row r="140" ht="15" hidden="0" customHeight="1">
      <x:c r="A140" s="67"/>
      <x:c r="B140" s="38"/>
      <x:c r="C140" s="38"/>
      <x:c r="D140" s="38"/>
      <x:c r="E140" s="38" t="str">
        <x:f>IFERROR(XLOOKUP(D140,Fixtures!$A$5:$A$204,Fixtures!$M$5:$M$204,""),"")</x:f>
      </x:c>
      <x:c r="F140" s="38" t="str">
        <x:f>IFERROR(XLOOKUP(D140,Fixtures!$A$5:$A$204,Fixtures!$E$5:$E$204,""),"")</x:f>
      </x:c>
      <x:c r="G140" s="38" t="str">
        <x:f>IFERROR(XLOOKUP(D140,Fixtures!$A$5:$A$204,Fixtures!$G$5:$G$204,""),"")</x:f>
      </x:c>
      <x:c r="H140" s="38"/>
      <x:c r="I140" s="38"/>
      <x:c r="J140" s="38"/>
      <x:c r="K140" s="38"/>
      <x:c r="L140" s="60"/>
      <x:c r="M140" s="38"/>
      <x:c r="N140" s="38"/>
      <x:c r="O140" s="38"/>
      <x:c r="P140" s="38"/>
      <x:c r="Q140" s="38"/>
      <x:c r="R140" s="38"/>
      <x:c r="S140" s="38" t="str">
        <x:f>IF(R140="Approved Current","Yes","No")</x:f>
        <x:v>No</x:v>
      </x:c>
      <x:c r="T140" s="38"/>
      <x:c r="U140" s="38"/>
      <x:c r="V140" s="38"/>
      <x:c r="W140" s="38"/>
      <x:c r="X140" s="38" t="str">
        <x:f>IF(D140="","",IF(V140&lt;&gt;"",V140,IF(J140="Walkover",IF(K140=XLOOKUP(D140,Fixtures!$A$5:$A$204,Fixtures!$D$5:$D$204,""),Rules!$C$12,IF(K140=XLOOKUP(D140,Fixtures!$A$5:$A$204,Fixtures!$F$5:$F$204,""),Rules!$C$13,"")),H140)))</x:f>
      </x:c>
      <x:c r="Y140" s="38" t="str">
        <x:f>IF(D140="","",IF(W140&lt;&gt;"",W140,IF(J140="Walkover",IF(K140=XLOOKUP(D140,Fixtures!$A$5:$A$204,Fixtures!$F$5:$F$204,""),Rules!$C$12,IF(K140=XLOOKUP(D140,Fixtures!$A$5:$A$204,Fixtures!$D$5:$D$204,""),Rules!$C$13,"")),I140)))</x:f>
      </x:c>
      <x:c r="Z140" s="38" t="str">
        <x:f>IF(D140="","",IF(AND(R140="Approved Current",OR(J140="Played",J140="Walkover")),"Yes","No"))</x:f>
      </x:c>
      <x:c r="AA140" s="38" t="str">
        <x:f>IF(D140="","",IF(AND(R140="Approved Current",COUNTIFS($D$5:$D$204,D140,$R$5:$R$204,"Approved Current")&gt;1),"Multiple Approved Current",IF(AND(J140="Walkover",K140=""),"Walkover missing winner","OK")))</x:f>
      </x:c>
    </x:row>
    <x:row r="141" ht="15" hidden="0" customHeight="1">
      <x:c r="A141" s="67"/>
      <x:c r="B141" s="38"/>
      <x:c r="C141" s="38"/>
      <x:c r="D141" s="38"/>
      <x:c r="E141" s="38" t="str">
        <x:f>IFERROR(XLOOKUP(D141,Fixtures!$A$5:$A$204,Fixtures!$M$5:$M$204,""),"")</x:f>
      </x:c>
      <x:c r="F141" s="38" t="str">
        <x:f>IFERROR(XLOOKUP(D141,Fixtures!$A$5:$A$204,Fixtures!$E$5:$E$204,""),"")</x:f>
      </x:c>
      <x:c r="G141" s="38" t="str">
        <x:f>IFERROR(XLOOKUP(D141,Fixtures!$A$5:$A$204,Fixtures!$G$5:$G$204,""),"")</x:f>
      </x:c>
      <x:c r="H141" s="38"/>
      <x:c r="I141" s="38"/>
      <x:c r="J141" s="38"/>
      <x:c r="K141" s="38"/>
      <x:c r="L141" s="60"/>
      <x:c r="M141" s="38"/>
      <x:c r="N141" s="38"/>
      <x:c r="O141" s="38"/>
      <x:c r="P141" s="38"/>
      <x:c r="Q141" s="38"/>
      <x:c r="R141" s="38"/>
      <x:c r="S141" s="38" t="str">
        <x:f>IF(R141="Approved Current","Yes","No")</x:f>
        <x:v>No</x:v>
      </x:c>
      <x:c r="T141" s="38"/>
      <x:c r="U141" s="38"/>
      <x:c r="V141" s="38"/>
      <x:c r="W141" s="38"/>
      <x:c r="X141" s="38" t="str">
        <x:f>IF(D141="","",IF(V141&lt;&gt;"",V141,IF(J141="Walkover",IF(K141=XLOOKUP(D141,Fixtures!$A$5:$A$204,Fixtures!$D$5:$D$204,""),Rules!$C$12,IF(K141=XLOOKUP(D141,Fixtures!$A$5:$A$204,Fixtures!$F$5:$F$204,""),Rules!$C$13,"")),H141)))</x:f>
      </x:c>
      <x:c r="Y141" s="38" t="str">
        <x:f>IF(D141="","",IF(W141&lt;&gt;"",W141,IF(J141="Walkover",IF(K141=XLOOKUP(D141,Fixtures!$A$5:$A$204,Fixtures!$F$5:$F$204,""),Rules!$C$12,IF(K141=XLOOKUP(D141,Fixtures!$A$5:$A$204,Fixtures!$D$5:$D$204,""),Rules!$C$13,"")),I141)))</x:f>
      </x:c>
      <x:c r="Z141" s="38" t="str">
        <x:f>IF(D141="","",IF(AND(R141="Approved Current",OR(J141="Played",J141="Walkover")),"Yes","No"))</x:f>
      </x:c>
      <x:c r="AA141" s="38" t="str">
        <x:f>IF(D141="","",IF(AND(R141="Approved Current",COUNTIFS($D$5:$D$204,D141,$R$5:$R$204,"Approved Current")&gt;1),"Multiple Approved Current",IF(AND(J141="Walkover",K141=""),"Walkover missing winner","OK")))</x:f>
      </x:c>
    </x:row>
    <x:row r="142" ht="15" hidden="0" customHeight="1">
      <x:c r="A142" s="67"/>
      <x:c r="B142" s="38"/>
      <x:c r="C142" s="38"/>
      <x:c r="D142" s="38"/>
      <x:c r="E142" s="38" t="str">
        <x:f>IFERROR(XLOOKUP(D142,Fixtures!$A$5:$A$204,Fixtures!$M$5:$M$204,""),"")</x:f>
      </x:c>
      <x:c r="F142" s="38" t="str">
        <x:f>IFERROR(XLOOKUP(D142,Fixtures!$A$5:$A$204,Fixtures!$E$5:$E$204,""),"")</x:f>
      </x:c>
      <x:c r="G142" s="38" t="str">
        <x:f>IFERROR(XLOOKUP(D142,Fixtures!$A$5:$A$204,Fixtures!$G$5:$G$204,""),"")</x:f>
      </x:c>
      <x:c r="H142" s="38"/>
      <x:c r="I142" s="38"/>
      <x:c r="J142" s="38"/>
      <x:c r="K142" s="38"/>
      <x:c r="L142" s="60"/>
      <x:c r="M142" s="38"/>
      <x:c r="N142" s="38"/>
      <x:c r="O142" s="38"/>
      <x:c r="P142" s="38"/>
      <x:c r="Q142" s="38"/>
      <x:c r="R142" s="38"/>
      <x:c r="S142" s="38" t="str">
        <x:f>IF(R142="Approved Current","Yes","No")</x:f>
        <x:v>No</x:v>
      </x:c>
      <x:c r="T142" s="38"/>
      <x:c r="U142" s="38"/>
      <x:c r="V142" s="38"/>
      <x:c r="W142" s="38"/>
      <x:c r="X142" s="38" t="str">
        <x:f>IF(D142="","",IF(V142&lt;&gt;"",V142,IF(J142="Walkover",IF(K142=XLOOKUP(D142,Fixtures!$A$5:$A$204,Fixtures!$D$5:$D$204,""),Rules!$C$12,IF(K142=XLOOKUP(D142,Fixtures!$A$5:$A$204,Fixtures!$F$5:$F$204,""),Rules!$C$13,"")),H142)))</x:f>
      </x:c>
      <x:c r="Y142" s="38" t="str">
        <x:f>IF(D142="","",IF(W142&lt;&gt;"",W142,IF(J142="Walkover",IF(K142=XLOOKUP(D142,Fixtures!$A$5:$A$204,Fixtures!$F$5:$F$204,""),Rules!$C$12,IF(K142=XLOOKUP(D142,Fixtures!$A$5:$A$204,Fixtures!$D$5:$D$204,""),Rules!$C$13,"")),I142)))</x:f>
      </x:c>
      <x:c r="Z142" s="38" t="str">
        <x:f>IF(D142="","",IF(AND(R142="Approved Current",OR(J142="Played",J142="Walkover")),"Yes","No"))</x:f>
      </x:c>
      <x:c r="AA142" s="38" t="str">
        <x:f>IF(D142="","",IF(AND(R142="Approved Current",COUNTIFS($D$5:$D$204,D142,$R$5:$R$204,"Approved Current")&gt;1),"Multiple Approved Current",IF(AND(J142="Walkover",K142=""),"Walkover missing winner","OK")))</x:f>
      </x:c>
    </x:row>
    <x:row r="143" ht="15" hidden="0" customHeight="1">
      <x:c r="A143" s="67"/>
      <x:c r="B143" s="38"/>
      <x:c r="C143" s="38"/>
      <x:c r="D143" s="38"/>
      <x:c r="E143" s="38" t="str">
        <x:f>IFERROR(XLOOKUP(D143,Fixtures!$A$5:$A$204,Fixtures!$M$5:$M$204,""),"")</x:f>
      </x:c>
      <x:c r="F143" s="38" t="str">
        <x:f>IFERROR(XLOOKUP(D143,Fixtures!$A$5:$A$204,Fixtures!$E$5:$E$204,""),"")</x:f>
      </x:c>
      <x:c r="G143" s="38" t="str">
        <x:f>IFERROR(XLOOKUP(D143,Fixtures!$A$5:$A$204,Fixtures!$G$5:$G$204,""),"")</x:f>
      </x:c>
      <x:c r="H143" s="38"/>
      <x:c r="I143" s="38"/>
      <x:c r="J143" s="38"/>
      <x:c r="K143" s="38"/>
      <x:c r="L143" s="60"/>
      <x:c r="M143" s="38"/>
      <x:c r="N143" s="38"/>
      <x:c r="O143" s="38"/>
      <x:c r="P143" s="38"/>
      <x:c r="Q143" s="38"/>
      <x:c r="R143" s="38"/>
      <x:c r="S143" s="38" t="str">
        <x:f>IF(R143="Approved Current","Yes","No")</x:f>
        <x:v>No</x:v>
      </x:c>
      <x:c r="T143" s="38"/>
      <x:c r="U143" s="38"/>
      <x:c r="V143" s="38"/>
      <x:c r="W143" s="38"/>
      <x:c r="X143" s="38" t="str">
        <x:f>IF(D143="","",IF(V143&lt;&gt;"",V143,IF(J143="Walkover",IF(K143=XLOOKUP(D143,Fixtures!$A$5:$A$204,Fixtures!$D$5:$D$204,""),Rules!$C$12,IF(K143=XLOOKUP(D143,Fixtures!$A$5:$A$204,Fixtures!$F$5:$F$204,""),Rules!$C$13,"")),H143)))</x:f>
      </x:c>
      <x:c r="Y143" s="38" t="str">
        <x:f>IF(D143="","",IF(W143&lt;&gt;"",W143,IF(J143="Walkover",IF(K143=XLOOKUP(D143,Fixtures!$A$5:$A$204,Fixtures!$F$5:$F$204,""),Rules!$C$12,IF(K143=XLOOKUP(D143,Fixtures!$A$5:$A$204,Fixtures!$D$5:$D$204,""),Rules!$C$13,"")),I143)))</x:f>
      </x:c>
      <x:c r="Z143" s="38" t="str">
        <x:f>IF(D143="","",IF(AND(R143="Approved Current",OR(J143="Played",J143="Walkover")),"Yes","No"))</x:f>
      </x:c>
      <x:c r="AA143" s="38" t="str">
        <x:f>IF(D143="","",IF(AND(R143="Approved Current",COUNTIFS($D$5:$D$204,D143,$R$5:$R$204,"Approved Current")&gt;1),"Multiple Approved Current",IF(AND(J143="Walkover",K143=""),"Walkover missing winner","OK")))</x:f>
      </x:c>
    </x:row>
    <x:row r="144" ht="15" hidden="0" customHeight="1">
      <x:c r="A144" s="67"/>
      <x:c r="B144" s="38"/>
      <x:c r="C144" s="38"/>
      <x:c r="D144" s="38"/>
      <x:c r="E144" s="38" t="str">
        <x:f>IFERROR(XLOOKUP(D144,Fixtures!$A$5:$A$204,Fixtures!$M$5:$M$204,""),"")</x:f>
      </x:c>
      <x:c r="F144" s="38" t="str">
        <x:f>IFERROR(XLOOKUP(D144,Fixtures!$A$5:$A$204,Fixtures!$E$5:$E$204,""),"")</x:f>
      </x:c>
      <x:c r="G144" s="38" t="str">
        <x:f>IFERROR(XLOOKUP(D144,Fixtures!$A$5:$A$204,Fixtures!$G$5:$G$204,""),"")</x:f>
      </x:c>
      <x:c r="H144" s="38"/>
      <x:c r="I144" s="38"/>
      <x:c r="J144" s="38"/>
      <x:c r="K144" s="38"/>
      <x:c r="L144" s="60"/>
      <x:c r="M144" s="38"/>
      <x:c r="N144" s="38"/>
      <x:c r="O144" s="38"/>
      <x:c r="P144" s="38"/>
      <x:c r="Q144" s="38"/>
      <x:c r="R144" s="38"/>
      <x:c r="S144" s="38" t="str">
        <x:f>IF(R144="Approved Current","Yes","No")</x:f>
        <x:v>No</x:v>
      </x:c>
      <x:c r="T144" s="38"/>
      <x:c r="U144" s="38"/>
      <x:c r="V144" s="38"/>
      <x:c r="W144" s="38"/>
      <x:c r="X144" s="38" t="str">
        <x:f>IF(D144="","",IF(V144&lt;&gt;"",V144,IF(J144="Walkover",IF(K144=XLOOKUP(D144,Fixtures!$A$5:$A$204,Fixtures!$D$5:$D$204,""),Rules!$C$12,IF(K144=XLOOKUP(D144,Fixtures!$A$5:$A$204,Fixtures!$F$5:$F$204,""),Rules!$C$13,"")),H144)))</x:f>
      </x:c>
      <x:c r="Y144" s="38" t="str">
        <x:f>IF(D144="","",IF(W144&lt;&gt;"",W144,IF(J144="Walkover",IF(K144=XLOOKUP(D144,Fixtures!$A$5:$A$204,Fixtures!$F$5:$F$204,""),Rules!$C$12,IF(K144=XLOOKUP(D144,Fixtures!$A$5:$A$204,Fixtures!$D$5:$D$204,""),Rules!$C$13,"")),I144)))</x:f>
      </x:c>
      <x:c r="Z144" s="38" t="str">
        <x:f>IF(D144="","",IF(AND(R144="Approved Current",OR(J144="Played",J144="Walkover")),"Yes","No"))</x:f>
      </x:c>
      <x:c r="AA144" s="38" t="str">
        <x:f>IF(D144="","",IF(AND(R144="Approved Current",COUNTIFS($D$5:$D$204,D144,$R$5:$R$204,"Approved Current")&gt;1),"Multiple Approved Current",IF(AND(J144="Walkover",K144=""),"Walkover missing winner","OK")))</x:f>
      </x:c>
    </x:row>
    <x:row r="145" ht="15" hidden="0" customHeight="1">
      <x:c r="A145" s="67"/>
      <x:c r="B145" s="38"/>
      <x:c r="C145" s="38"/>
      <x:c r="D145" s="38"/>
      <x:c r="E145" s="38" t="str">
        <x:f>IFERROR(XLOOKUP(D145,Fixtures!$A$5:$A$204,Fixtures!$M$5:$M$204,""),"")</x:f>
      </x:c>
      <x:c r="F145" s="38" t="str">
        <x:f>IFERROR(XLOOKUP(D145,Fixtures!$A$5:$A$204,Fixtures!$E$5:$E$204,""),"")</x:f>
      </x:c>
      <x:c r="G145" s="38" t="str">
        <x:f>IFERROR(XLOOKUP(D145,Fixtures!$A$5:$A$204,Fixtures!$G$5:$G$204,""),"")</x:f>
      </x:c>
      <x:c r="H145" s="38"/>
      <x:c r="I145" s="38"/>
      <x:c r="J145" s="38"/>
      <x:c r="K145" s="38"/>
      <x:c r="L145" s="60"/>
      <x:c r="M145" s="38"/>
      <x:c r="N145" s="38"/>
      <x:c r="O145" s="38"/>
      <x:c r="P145" s="38"/>
      <x:c r="Q145" s="38"/>
      <x:c r="R145" s="38"/>
      <x:c r="S145" s="38" t="str">
        <x:f>IF(R145="Approved Current","Yes","No")</x:f>
        <x:v>No</x:v>
      </x:c>
      <x:c r="T145" s="38"/>
      <x:c r="U145" s="38"/>
      <x:c r="V145" s="38"/>
      <x:c r="W145" s="38"/>
      <x:c r="X145" s="38" t="str">
        <x:f>IF(D145="","",IF(V145&lt;&gt;"",V145,IF(J145="Walkover",IF(K145=XLOOKUP(D145,Fixtures!$A$5:$A$204,Fixtures!$D$5:$D$204,""),Rules!$C$12,IF(K145=XLOOKUP(D145,Fixtures!$A$5:$A$204,Fixtures!$F$5:$F$204,""),Rules!$C$13,"")),H145)))</x:f>
      </x:c>
      <x:c r="Y145" s="38" t="str">
        <x:f>IF(D145="","",IF(W145&lt;&gt;"",W145,IF(J145="Walkover",IF(K145=XLOOKUP(D145,Fixtures!$A$5:$A$204,Fixtures!$F$5:$F$204,""),Rules!$C$12,IF(K145=XLOOKUP(D145,Fixtures!$A$5:$A$204,Fixtures!$D$5:$D$204,""),Rules!$C$13,"")),I145)))</x:f>
      </x:c>
      <x:c r="Z145" s="38" t="str">
        <x:f>IF(D145="","",IF(AND(R145="Approved Current",OR(J145="Played",J145="Walkover")),"Yes","No"))</x:f>
      </x:c>
      <x:c r="AA145" s="38" t="str">
        <x:f>IF(D145="","",IF(AND(R145="Approved Current",COUNTIFS($D$5:$D$204,D145,$R$5:$R$204,"Approved Current")&gt;1),"Multiple Approved Current",IF(AND(J145="Walkover",K145=""),"Walkover missing winner","OK")))</x:f>
      </x:c>
    </x:row>
    <x:row r="146" ht="15" hidden="0" customHeight="1">
      <x:c r="A146" s="67"/>
      <x:c r="B146" s="38"/>
      <x:c r="C146" s="38"/>
      <x:c r="D146" s="38"/>
      <x:c r="E146" s="38" t="str">
        <x:f>IFERROR(XLOOKUP(D146,Fixtures!$A$5:$A$204,Fixtures!$M$5:$M$204,""),"")</x:f>
      </x:c>
      <x:c r="F146" s="38" t="str">
        <x:f>IFERROR(XLOOKUP(D146,Fixtures!$A$5:$A$204,Fixtures!$E$5:$E$204,""),"")</x:f>
      </x:c>
      <x:c r="G146" s="38" t="str">
        <x:f>IFERROR(XLOOKUP(D146,Fixtures!$A$5:$A$204,Fixtures!$G$5:$G$204,""),"")</x:f>
      </x:c>
      <x:c r="H146" s="38"/>
      <x:c r="I146" s="38"/>
      <x:c r="J146" s="38"/>
      <x:c r="K146" s="38"/>
      <x:c r="L146" s="60"/>
      <x:c r="M146" s="38"/>
      <x:c r="N146" s="38"/>
      <x:c r="O146" s="38"/>
      <x:c r="P146" s="38"/>
      <x:c r="Q146" s="38"/>
      <x:c r="R146" s="38"/>
      <x:c r="S146" s="38" t="str">
        <x:f>IF(R146="Approved Current","Yes","No")</x:f>
        <x:v>No</x:v>
      </x:c>
      <x:c r="T146" s="38"/>
      <x:c r="U146" s="38"/>
      <x:c r="V146" s="38"/>
      <x:c r="W146" s="38"/>
      <x:c r="X146" s="38" t="str">
        <x:f>IF(D146="","",IF(V146&lt;&gt;"",V146,IF(J146="Walkover",IF(K146=XLOOKUP(D146,Fixtures!$A$5:$A$204,Fixtures!$D$5:$D$204,""),Rules!$C$12,IF(K146=XLOOKUP(D146,Fixtures!$A$5:$A$204,Fixtures!$F$5:$F$204,""),Rules!$C$13,"")),H146)))</x:f>
      </x:c>
      <x:c r="Y146" s="38" t="str">
        <x:f>IF(D146="","",IF(W146&lt;&gt;"",W146,IF(J146="Walkover",IF(K146=XLOOKUP(D146,Fixtures!$A$5:$A$204,Fixtures!$F$5:$F$204,""),Rules!$C$12,IF(K146=XLOOKUP(D146,Fixtures!$A$5:$A$204,Fixtures!$D$5:$D$204,""),Rules!$C$13,"")),I146)))</x:f>
      </x:c>
      <x:c r="Z146" s="38" t="str">
        <x:f>IF(D146="","",IF(AND(R146="Approved Current",OR(J146="Played",J146="Walkover")),"Yes","No"))</x:f>
      </x:c>
      <x:c r="AA146" s="38" t="str">
        <x:f>IF(D146="","",IF(AND(R146="Approved Current",COUNTIFS($D$5:$D$204,D146,$R$5:$R$204,"Approved Current")&gt;1),"Multiple Approved Current",IF(AND(J146="Walkover",K146=""),"Walkover missing winner","OK")))</x:f>
      </x:c>
    </x:row>
    <x:row r="147" ht="15" hidden="0" customHeight="1">
      <x:c r="A147" s="67"/>
      <x:c r="B147" s="38"/>
      <x:c r="C147" s="38"/>
      <x:c r="D147" s="38"/>
      <x:c r="E147" s="38" t="str">
        <x:f>IFERROR(XLOOKUP(D147,Fixtures!$A$5:$A$204,Fixtures!$M$5:$M$204,""),"")</x:f>
      </x:c>
      <x:c r="F147" s="38" t="str">
        <x:f>IFERROR(XLOOKUP(D147,Fixtures!$A$5:$A$204,Fixtures!$E$5:$E$204,""),"")</x:f>
      </x:c>
      <x:c r="G147" s="38" t="str">
        <x:f>IFERROR(XLOOKUP(D147,Fixtures!$A$5:$A$204,Fixtures!$G$5:$G$204,""),"")</x:f>
      </x:c>
      <x:c r="H147" s="38"/>
      <x:c r="I147" s="38"/>
      <x:c r="J147" s="38"/>
      <x:c r="K147" s="38"/>
      <x:c r="L147" s="60"/>
      <x:c r="M147" s="38"/>
      <x:c r="N147" s="38"/>
      <x:c r="O147" s="38"/>
      <x:c r="P147" s="38"/>
      <x:c r="Q147" s="38"/>
      <x:c r="R147" s="38"/>
      <x:c r="S147" s="38" t="str">
        <x:f>IF(R147="Approved Current","Yes","No")</x:f>
        <x:v>No</x:v>
      </x:c>
      <x:c r="T147" s="38"/>
      <x:c r="U147" s="38"/>
      <x:c r="V147" s="38"/>
      <x:c r="W147" s="38"/>
      <x:c r="X147" s="38" t="str">
        <x:f>IF(D147="","",IF(V147&lt;&gt;"",V147,IF(J147="Walkover",IF(K147=XLOOKUP(D147,Fixtures!$A$5:$A$204,Fixtures!$D$5:$D$204,""),Rules!$C$12,IF(K147=XLOOKUP(D147,Fixtures!$A$5:$A$204,Fixtures!$F$5:$F$204,""),Rules!$C$13,"")),H147)))</x:f>
      </x:c>
      <x:c r="Y147" s="38" t="str">
        <x:f>IF(D147="","",IF(W147&lt;&gt;"",W147,IF(J147="Walkover",IF(K147=XLOOKUP(D147,Fixtures!$A$5:$A$204,Fixtures!$F$5:$F$204,""),Rules!$C$12,IF(K147=XLOOKUP(D147,Fixtures!$A$5:$A$204,Fixtures!$D$5:$D$204,""),Rules!$C$13,"")),I147)))</x:f>
      </x:c>
      <x:c r="Z147" s="38" t="str">
        <x:f>IF(D147="","",IF(AND(R147="Approved Current",OR(J147="Played",J147="Walkover")),"Yes","No"))</x:f>
      </x:c>
      <x:c r="AA147" s="38" t="str">
        <x:f>IF(D147="","",IF(AND(R147="Approved Current",COUNTIFS($D$5:$D$204,D147,$R$5:$R$204,"Approved Current")&gt;1),"Multiple Approved Current",IF(AND(J147="Walkover",K147=""),"Walkover missing winner","OK")))</x:f>
      </x:c>
    </x:row>
    <x:row r="148" ht="15" hidden="0" customHeight="1">
      <x:c r="A148" s="67"/>
      <x:c r="B148" s="38"/>
      <x:c r="C148" s="38"/>
      <x:c r="D148" s="38"/>
      <x:c r="E148" s="38" t="str">
        <x:f>IFERROR(XLOOKUP(D148,Fixtures!$A$5:$A$204,Fixtures!$M$5:$M$204,""),"")</x:f>
      </x:c>
      <x:c r="F148" s="38" t="str">
        <x:f>IFERROR(XLOOKUP(D148,Fixtures!$A$5:$A$204,Fixtures!$E$5:$E$204,""),"")</x:f>
      </x:c>
      <x:c r="G148" s="38" t="str">
        <x:f>IFERROR(XLOOKUP(D148,Fixtures!$A$5:$A$204,Fixtures!$G$5:$G$204,""),"")</x:f>
      </x:c>
      <x:c r="H148" s="38"/>
      <x:c r="I148" s="38"/>
      <x:c r="J148" s="38"/>
      <x:c r="K148" s="38"/>
      <x:c r="L148" s="60"/>
      <x:c r="M148" s="38"/>
      <x:c r="N148" s="38"/>
      <x:c r="O148" s="38"/>
      <x:c r="P148" s="38"/>
      <x:c r="Q148" s="38"/>
      <x:c r="R148" s="38"/>
      <x:c r="S148" s="38" t="str">
        <x:f>IF(R148="Approved Current","Yes","No")</x:f>
        <x:v>No</x:v>
      </x:c>
      <x:c r="T148" s="38"/>
      <x:c r="U148" s="38"/>
      <x:c r="V148" s="38"/>
      <x:c r="W148" s="38"/>
      <x:c r="X148" s="38" t="str">
        <x:f>IF(D148="","",IF(V148&lt;&gt;"",V148,IF(J148="Walkover",IF(K148=XLOOKUP(D148,Fixtures!$A$5:$A$204,Fixtures!$D$5:$D$204,""),Rules!$C$12,IF(K148=XLOOKUP(D148,Fixtures!$A$5:$A$204,Fixtures!$F$5:$F$204,""),Rules!$C$13,"")),H148)))</x:f>
      </x:c>
      <x:c r="Y148" s="38" t="str">
        <x:f>IF(D148="","",IF(W148&lt;&gt;"",W148,IF(J148="Walkover",IF(K148=XLOOKUP(D148,Fixtures!$A$5:$A$204,Fixtures!$F$5:$F$204,""),Rules!$C$12,IF(K148=XLOOKUP(D148,Fixtures!$A$5:$A$204,Fixtures!$D$5:$D$204,""),Rules!$C$13,"")),I148)))</x:f>
      </x:c>
      <x:c r="Z148" s="38" t="str">
        <x:f>IF(D148="","",IF(AND(R148="Approved Current",OR(J148="Played",J148="Walkover")),"Yes","No"))</x:f>
      </x:c>
      <x:c r="AA148" s="38" t="str">
        <x:f>IF(D148="","",IF(AND(R148="Approved Current",COUNTIFS($D$5:$D$204,D148,$R$5:$R$204,"Approved Current")&gt;1),"Multiple Approved Current",IF(AND(J148="Walkover",K148=""),"Walkover missing winner","OK")))</x:f>
      </x:c>
    </x:row>
    <x:row r="149" ht="15" hidden="0" customHeight="1">
      <x:c r="A149" s="67"/>
      <x:c r="B149" s="38"/>
      <x:c r="C149" s="38"/>
      <x:c r="D149" s="38"/>
      <x:c r="E149" s="38" t="str">
        <x:f>IFERROR(XLOOKUP(D149,Fixtures!$A$5:$A$204,Fixtures!$M$5:$M$204,""),"")</x:f>
      </x:c>
      <x:c r="F149" s="38" t="str">
        <x:f>IFERROR(XLOOKUP(D149,Fixtures!$A$5:$A$204,Fixtures!$E$5:$E$204,""),"")</x:f>
      </x:c>
      <x:c r="G149" s="38" t="str">
        <x:f>IFERROR(XLOOKUP(D149,Fixtures!$A$5:$A$204,Fixtures!$G$5:$G$204,""),"")</x:f>
      </x:c>
      <x:c r="H149" s="38"/>
      <x:c r="I149" s="38"/>
      <x:c r="J149" s="38"/>
      <x:c r="K149" s="38"/>
      <x:c r="L149" s="60"/>
      <x:c r="M149" s="38"/>
      <x:c r="N149" s="38"/>
      <x:c r="O149" s="38"/>
      <x:c r="P149" s="38"/>
      <x:c r="Q149" s="38"/>
      <x:c r="R149" s="38"/>
      <x:c r="S149" s="38" t="str">
        <x:f>IF(R149="Approved Current","Yes","No")</x:f>
        <x:v>No</x:v>
      </x:c>
      <x:c r="T149" s="38"/>
      <x:c r="U149" s="38"/>
      <x:c r="V149" s="38"/>
      <x:c r="W149" s="38"/>
      <x:c r="X149" s="38" t="str">
        <x:f>IF(D149="","",IF(V149&lt;&gt;"",V149,IF(J149="Walkover",IF(K149=XLOOKUP(D149,Fixtures!$A$5:$A$204,Fixtures!$D$5:$D$204,""),Rules!$C$12,IF(K149=XLOOKUP(D149,Fixtures!$A$5:$A$204,Fixtures!$F$5:$F$204,""),Rules!$C$13,"")),H149)))</x:f>
      </x:c>
      <x:c r="Y149" s="38" t="str">
        <x:f>IF(D149="","",IF(W149&lt;&gt;"",W149,IF(J149="Walkover",IF(K149=XLOOKUP(D149,Fixtures!$A$5:$A$204,Fixtures!$F$5:$F$204,""),Rules!$C$12,IF(K149=XLOOKUP(D149,Fixtures!$A$5:$A$204,Fixtures!$D$5:$D$204,""),Rules!$C$13,"")),I149)))</x:f>
      </x:c>
      <x:c r="Z149" s="38" t="str">
        <x:f>IF(D149="","",IF(AND(R149="Approved Current",OR(J149="Played",J149="Walkover")),"Yes","No"))</x:f>
      </x:c>
      <x:c r="AA149" s="38" t="str">
        <x:f>IF(D149="","",IF(AND(R149="Approved Current",COUNTIFS($D$5:$D$204,D149,$R$5:$R$204,"Approved Current")&gt;1),"Multiple Approved Current",IF(AND(J149="Walkover",K149=""),"Walkover missing winner","OK")))</x:f>
      </x:c>
    </x:row>
    <x:row r="150" ht="15" hidden="0" customHeight="1">
      <x:c r="A150" s="67"/>
      <x:c r="B150" s="38"/>
      <x:c r="C150" s="38"/>
      <x:c r="D150" s="38"/>
      <x:c r="E150" s="38" t="str">
        <x:f>IFERROR(XLOOKUP(D150,Fixtures!$A$5:$A$204,Fixtures!$M$5:$M$204,""),"")</x:f>
      </x:c>
      <x:c r="F150" s="38" t="str">
        <x:f>IFERROR(XLOOKUP(D150,Fixtures!$A$5:$A$204,Fixtures!$E$5:$E$204,""),"")</x:f>
      </x:c>
      <x:c r="G150" s="38" t="str">
        <x:f>IFERROR(XLOOKUP(D150,Fixtures!$A$5:$A$204,Fixtures!$G$5:$G$204,""),"")</x:f>
      </x:c>
      <x:c r="H150" s="38"/>
      <x:c r="I150" s="38"/>
      <x:c r="J150" s="38"/>
      <x:c r="K150" s="38"/>
      <x:c r="L150" s="60"/>
      <x:c r="M150" s="38"/>
      <x:c r="N150" s="38"/>
      <x:c r="O150" s="38"/>
      <x:c r="P150" s="38"/>
      <x:c r="Q150" s="38"/>
      <x:c r="R150" s="38"/>
      <x:c r="S150" s="38" t="str">
        <x:f>IF(R150="Approved Current","Yes","No")</x:f>
        <x:v>No</x:v>
      </x:c>
      <x:c r="T150" s="38"/>
      <x:c r="U150" s="38"/>
      <x:c r="V150" s="38"/>
      <x:c r="W150" s="38"/>
      <x:c r="X150" s="38" t="str">
        <x:f>IF(D150="","",IF(V150&lt;&gt;"",V150,IF(J150="Walkover",IF(K150=XLOOKUP(D150,Fixtures!$A$5:$A$204,Fixtures!$D$5:$D$204,""),Rules!$C$12,IF(K150=XLOOKUP(D150,Fixtures!$A$5:$A$204,Fixtures!$F$5:$F$204,""),Rules!$C$13,"")),H150)))</x:f>
      </x:c>
      <x:c r="Y150" s="38" t="str">
        <x:f>IF(D150="","",IF(W150&lt;&gt;"",W150,IF(J150="Walkover",IF(K150=XLOOKUP(D150,Fixtures!$A$5:$A$204,Fixtures!$F$5:$F$204,""),Rules!$C$12,IF(K150=XLOOKUP(D150,Fixtures!$A$5:$A$204,Fixtures!$D$5:$D$204,""),Rules!$C$13,"")),I150)))</x:f>
      </x:c>
      <x:c r="Z150" s="38" t="str">
        <x:f>IF(D150="","",IF(AND(R150="Approved Current",OR(J150="Played",J150="Walkover")),"Yes","No"))</x:f>
      </x:c>
      <x:c r="AA150" s="38" t="str">
        <x:f>IF(D150="","",IF(AND(R150="Approved Current",COUNTIFS($D$5:$D$204,D150,$R$5:$R$204,"Approved Current")&gt;1),"Multiple Approved Current",IF(AND(J150="Walkover",K150=""),"Walkover missing winner","OK")))</x:f>
      </x:c>
    </x:row>
    <x:row r="151" ht="15" hidden="0" customHeight="1">
      <x:c r="A151" s="67"/>
      <x:c r="B151" s="38"/>
      <x:c r="C151" s="38"/>
      <x:c r="D151" s="38"/>
      <x:c r="E151" s="38" t="str">
        <x:f>IFERROR(XLOOKUP(D151,Fixtures!$A$5:$A$204,Fixtures!$M$5:$M$204,""),"")</x:f>
      </x:c>
      <x:c r="F151" s="38" t="str">
        <x:f>IFERROR(XLOOKUP(D151,Fixtures!$A$5:$A$204,Fixtures!$E$5:$E$204,""),"")</x:f>
      </x:c>
      <x:c r="G151" s="38" t="str">
        <x:f>IFERROR(XLOOKUP(D151,Fixtures!$A$5:$A$204,Fixtures!$G$5:$G$204,""),"")</x:f>
      </x:c>
      <x:c r="H151" s="38"/>
      <x:c r="I151" s="38"/>
      <x:c r="J151" s="38"/>
      <x:c r="K151" s="38"/>
      <x:c r="L151" s="60"/>
      <x:c r="M151" s="38"/>
      <x:c r="N151" s="38"/>
      <x:c r="O151" s="38"/>
      <x:c r="P151" s="38"/>
      <x:c r="Q151" s="38"/>
      <x:c r="R151" s="38"/>
      <x:c r="S151" s="38" t="str">
        <x:f>IF(R151="Approved Current","Yes","No")</x:f>
        <x:v>No</x:v>
      </x:c>
      <x:c r="T151" s="38"/>
      <x:c r="U151" s="38"/>
      <x:c r="V151" s="38"/>
      <x:c r="W151" s="38"/>
      <x:c r="X151" s="38" t="str">
        <x:f>IF(D151="","",IF(V151&lt;&gt;"",V151,IF(J151="Walkover",IF(K151=XLOOKUP(D151,Fixtures!$A$5:$A$204,Fixtures!$D$5:$D$204,""),Rules!$C$12,IF(K151=XLOOKUP(D151,Fixtures!$A$5:$A$204,Fixtures!$F$5:$F$204,""),Rules!$C$13,"")),H151)))</x:f>
      </x:c>
      <x:c r="Y151" s="38" t="str">
        <x:f>IF(D151="","",IF(W151&lt;&gt;"",W151,IF(J151="Walkover",IF(K151=XLOOKUP(D151,Fixtures!$A$5:$A$204,Fixtures!$F$5:$F$204,""),Rules!$C$12,IF(K151=XLOOKUP(D151,Fixtures!$A$5:$A$204,Fixtures!$D$5:$D$204,""),Rules!$C$13,"")),I151)))</x:f>
      </x:c>
      <x:c r="Z151" s="38" t="str">
        <x:f>IF(D151="","",IF(AND(R151="Approved Current",OR(J151="Played",J151="Walkover")),"Yes","No"))</x:f>
      </x:c>
      <x:c r="AA151" s="38" t="str">
        <x:f>IF(D151="","",IF(AND(R151="Approved Current",COUNTIFS($D$5:$D$204,D151,$R$5:$R$204,"Approved Current")&gt;1),"Multiple Approved Current",IF(AND(J151="Walkover",K151=""),"Walkover missing winner","OK")))</x:f>
      </x:c>
    </x:row>
    <x:row r="152" ht="15" hidden="0" customHeight="1">
      <x:c r="A152" s="67"/>
      <x:c r="B152" s="38"/>
      <x:c r="C152" s="38"/>
      <x:c r="D152" s="38"/>
      <x:c r="E152" s="38" t="str">
        <x:f>IFERROR(XLOOKUP(D152,Fixtures!$A$5:$A$204,Fixtures!$M$5:$M$204,""),"")</x:f>
      </x:c>
      <x:c r="F152" s="38" t="str">
        <x:f>IFERROR(XLOOKUP(D152,Fixtures!$A$5:$A$204,Fixtures!$E$5:$E$204,""),"")</x:f>
      </x:c>
      <x:c r="G152" s="38" t="str">
        <x:f>IFERROR(XLOOKUP(D152,Fixtures!$A$5:$A$204,Fixtures!$G$5:$G$204,""),"")</x:f>
      </x:c>
      <x:c r="H152" s="38"/>
      <x:c r="I152" s="38"/>
      <x:c r="J152" s="38"/>
      <x:c r="K152" s="38"/>
      <x:c r="L152" s="60"/>
      <x:c r="M152" s="38"/>
      <x:c r="N152" s="38"/>
      <x:c r="O152" s="38"/>
      <x:c r="P152" s="38"/>
      <x:c r="Q152" s="38"/>
      <x:c r="R152" s="38"/>
      <x:c r="S152" s="38" t="str">
        <x:f>IF(R152="Approved Current","Yes","No")</x:f>
        <x:v>No</x:v>
      </x:c>
      <x:c r="T152" s="38"/>
      <x:c r="U152" s="38"/>
      <x:c r="V152" s="38"/>
      <x:c r="W152" s="38"/>
      <x:c r="X152" s="38" t="str">
        <x:f>IF(D152="","",IF(V152&lt;&gt;"",V152,IF(J152="Walkover",IF(K152=XLOOKUP(D152,Fixtures!$A$5:$A$204,Fixtures!$D$5:$D$204,""),Rules!$C$12,IF(K152=XLOOKUP(D152,Fixtures!$A$5:$A$204,Fixtures!$F$5:$F$204,""),Rules!$C$13,"")),H152)))</x:f>
      </x:c>
      <x:c r="Y152" s="38" t="str">
        <x:f>IF(D152="","",IF(W152&lt;&gt;"",W152,IF(J152="Walkover",IF(K152=XLOOKUP(D152,Fixtures!$A$5:$A$204,Fixtures!$F$5:$F$204,""),Rules!$C$12,IF(K152=XLOOKUP(D152,Fixtures!$A$5:$A$204,Fixtures!$D$5:$D$204,""),Rules!$C$13,"")),I152)))</x:f>
      </x:c>
      <x:c r="Z152" s="38" t="str">
        <x:f>IF(D152="","",IF(AND(R152="Approved Current",OR(J152="Played",J152="Walkover")),"Yes","No"))</x:f>
      </x:c>
      <x:c r="AA152" s="38" t="str">
        <x:f>IF(D152="","",IF(AND(R152="Approved Current",COUNTIFS($D$5:$D$204,D152,$R$5:$R$204,"Approved Current")&gt;1),"Multiple Approved Current",IF(AND(J152="Walkover",K152=""),"Walkover missing winner","OK")))</x:f>
      </x:c>
    </x:row>
    <x:row r="153" ht="15" hidden="0" customHeight="1">
      <x:c r="A153" s="67"/>
      <x:c r="B153" s="38"/>
      <x:c r="C153" s="38"/>
      <x:c r="D153" s="38"/>
      <x:c r="E153" s="38" t="str">
        <x:f>IFERROR(XLOOKUP(D153,Fixtures!$A$5:$A$204,Fixtures!$M$5:$M$204,""),"")</x:f>
      </x:c>
      <x:c r="F153" s="38" t="str">
        <x:f>IFERROR(XLOOKUP(D153,Fixtures!$A$5:$A$204,Fixtures!$E$5:$E$204,""),"")</x:f>
      </x:c>
      <x:c r="G153" s="38" t="str">
        <x:f>IFERROR(XLOOKUP(D153,Fixtures!$A$5:$A$204,Fixtures!$G$5:$G$204,""),"")</x:f>
      </x:c>
      <x:c r="H153" s="38"/>
      <x:c r="I153" s="38"/>
      <x:c r="J153" s="38"/>
      <x:c r="K153" s="38"/>
      <x:c r="L153" s="60"/>
      <x:c r="M153" s="38"/>
      <x:c r="N153" s="38"/>
      <x:c r="O153" s="38"/>
      <x:c r="P153" s="38"/>
      <x:c r="Q153" s="38"/>
      <x:c r="R153" s="38"/>
      <x:c r="S153" s="38" t="str">
        <x:f>IF(R153="Approved Current","Yes","No")</x:f>
        <x:v>No</x:v>
      </x:c>
      <x:c r="T153" s="38"/>
      <x:c r="U153" s="38"/>
      <x:c r="V153" s="38"/>
      <x:c r="W153" s="38"/>
      <x:c r="X153" s="38" t="str">
        <x:f>IF(D153="","",IF(V153&lt;&gt;"",V153,IF(J153="Walkover",IF(K153=XLOOKUP(D153,Fixtures!$A$5:$A$204,Fixtures!$D$5:$D$204,""),Rules!$C$12,IF(K153=XLOOKUP(D153,Fixtures!$A$5:$A$204,Fixtures!$F$5:$F$204,""),Rules!$C$13,"")),H153)))</x:f>
      </x:c>
      <x:c r="Y153" s="38" t="str">
        <x:f>IF(D153="","",IF(W153&lt;&gt;"",W153,IF(J153="Walkover",IF(K153=XLOOKUP(D153,Fixtures!$A$5:$A$204,Fixtures!$F$5:$F$204,""),Rules!$C$12,IF(K153=XLOOKUP(D153,Fixtures!$A$5:$A$204,Fixtures!$D$5:$D$204,""),Rules!$C$13,"")),I153)))</x:f>
      </x:c>
      <x:c r="Z153" s="38" t="str">
        <x:f>IF(D153="","",IF(AND(R153="Approved Current",OR(J153="Played",J153="Walkover")),"Yes","No"))</x:f>
      </x:c>
      <x:c r="AA153" s="38" t="str">
        <x:f>IF(D153="","",IF(AND(R153="Approved Current",COUNTIFS($D$5:$D$204,D153,$R$5:$R$204,"Approved Current")&gt;1),"Multiple Approved Current",IF(AND(J153="Walkover",K153=""),"Walkover missing winner","OK")))</x:f>
      </x:c>
    </x:row>
    <x:row r="154" ht="15" hidden="0" customHeight="1">
      <x:c r="A154" s="67"/>
      <x:c r="B154" s="38"/>
      <x:c r="C154" s="38"/>
      <x:c r="D154" s="38"/>
      <x:c r="E154" s="38" t="str">
        <x:f>IFERROR(XLOOKUP(D154,Fixtures!$A$5:$A$204,Fixtures!$M$5:$M$204,""),"")</x:f>
      </x:c>
      <x:c r="F154" s="38" t="str">
        <x:f>IFERROR(XLOOKUP(D154,Fixtures!$A$5:$A$204,Fixtures!$E$5:$E$204,""),"")</x:f>
      </x:c>
      <x:c r="G154" s="38" t="str">
        <x:f>IFERROR(XLOOKUP(D154,Fixtures!$A$5:$A$204,Fixtures!$G$5:$G$204,""),"")</x:f>
      </x:c>
      <x:c r="H154" s="38"/>
      <x:c r="I154" s="38"/>
      <x:c r="J154" s="38"/>
      <x:c r="K154" s="38"/>
      <x:c r="L154" s="60"/>
      <x:c r="M154" s="38"/>
      <x:c r="N154" s="38"/>
      <x:c r="O154" s="38"/>
      <x:c r="P154" s="38"/>
      <x:c r="Q154" s="38"/>
      <x:c r="R154" s="38"/>
      <x:c r="S154" s="38" t="str">
        <x:f>IF(R154="Approved Current","Yes","No")</x:f>
        <x:v>No</x:v>
      </x:c>
      <x:c r="T154" s="38"/>
      <x:c r="U154" s="38"/>
      <x:c r="V154" s="38"/>
      <x:c r="W154" s="38"/>
      <x:c r="X154" s="38" t="str">
        <x:f>IF(D154="","",IF(V154&lt;&gt;"",V154,IF(J154="Walkover",IF(K154=XLOOKUP(D154,Fixtures!$A$5:$A$204,Fixtures!$D$5:$D$204,""),Rules!$C$12,IF(K154=XLOOKUP(D154,Fixtures!$A$5:$A$204,Fixtures!$F$5:$F$204,""),Rules!$C$13,"")),H154)))</x:f>
      </x:c>
      <x:c r="Y154" s="38" t="str">
        <x:f>IF(D154="","",IF(W154&lt;&gt;"",W154,IF(J154="Walkover",IF(K154=XLOOKUP(D154,Fixtures!$A$5:$A$204,Fixtures!$F$5:$F$204,""),Rules!$C$12,IF(K154=XLOOKUP(D154,Fixtures!$A$5:$A$204,Fixtures!$D$5:$D$204,""),Rules!$C$13,"")),I154)))</x:f>
      </x:c>
      <x:c r="Z154" s="38" t="str">
        <x:f>IF(D154="","",IF(AND(R154="Approved Current",OR(J154="Played",J154="Walkover")),"Yes","No"))</x:f>
      </x:c>
      <x:c r="AA154" s="38" t="str">
        <x:f>IF(D154="","",IF(AND(R154="Approved Current",COUNTIFS($D$5:$D$204,D154,$R$5:$R$204,"Approved Current")&gt;1),"Multiple Approved Current",IF(AND(J154="Walkover",K154=""),"Walkover missing winner","OK")))</x:f>
      </x:c>
    </x:row>
    <x:row r="155" ht="15" hidden="0" customHeight="1">
      <x:c r="A155" s="67"/>
      <x:c r="B155" s="38"/>
      <x:c r="C155" s="38"/>
      <x:c r="D155" s="38"/>
      <x:c r="E155" s="38" t="str">
        <x:f>IFERROR(XLOOKUP(D155,Fixtures!$A$5:$A$204,Fixtures!$M$5:$M$204,""),"")</x:f>
      </x:c>
      <x:c r="F155" s="38" t="str">
        <x:f>IFERROR(XLOOKUP(D155,Fixtures!$A$5:$A$204,Fixtures!$E$5:$E$204,""),"")</x:f>
      </x:c>
      <x:c r="G155" s="38" t="str">
        <x:f>IFERROR(XLOOKUP(D155,Fixtures!$A$5:$A$204,Fixtures!$G$5:$G$204,""),"")</x:f>
      </x:c>
      <x:c r="H155" s="38"/>
      <x:c r="I155" s="38"/>
      <x:c r="J155" s="38"/>
      <x:c r="K155" s="38"/>
      <x:c r="L155" s="60"/>
      <x:c r="M155" s="38"/>
      <x:c r="N155" s="38"/>
      <x:c r="O155" s="38"/>
      <x:c r="P155" s="38"/>
      <x:c r="Q155" s="38"/>
      <x:c r="R155" s="38"/>
      <x:c r="S155" s="38" t="str">
        <x:f>IF(R155="Approved Current","Yes","No")</x:f>
        <x:v>No</x:v>
      </x:c>
      <x:c r="T155" s="38"/>
      <x:c r="U155" s="38"/>
      <x:c r="V155" s="38"/>
      <x:c r="W155" s="38"/>
      <x:c r="X155" s="38" t="str">
        <x:f>IF(D155="","",IF(V155&lt;&gt;"",V155,IF(J155="Walkover",IF(K155=XLOOKUP(D155,Fixtures!$A$5:$A$204,Fixtures!$D$5:$D$204,""),Rules!$C$12,IF(K155=XLOOKUP(D155,Fixtures!$A$5:$A$204,Fixtures!$F$5:$F$204,""),Rules!$C$13,"")),H155)))</x:f>
      </x:c>
      <x:c r="Y155" s="38" t="str">
        <x:f>IF(D155="","",IF(W155&lt;&gt;"",W155,IF(J155="Walkover",IF(K155=XLOOKUP(D155,Fixtures!$A$5:$A$204,Fixtures!$F$5:$F$204,""),Rules!$C$12,IF(K155=XLOOKUP(D155,Fixtures!$A$5:$A$204,Fixtures!$D$5:$D$204,""),Rules!$C$13,"")),I155)))</x:f>
      </x:c>
      <x:c r="Z155" s="38" t="str">
        <x:f>IF(D155="","",IF(AND(R155="Approved Current",OR(J155="Played",J155="Walkover")),"Yes","No"))</x:f>
      </x:c>
      <x:c r="AA155" s="38" t="str">
        <x:f>IF(D155="","",IF(AND(R155="Approved Current",COUNTIFS($D$5:$D$204,D155,$R$5:$R$204,"Approved Current")&gt;1),"Multiple Approved Current",IF(AND(J155="Walkover",K155=""),"Walkover missing winner","OK")))</x:f>
      </x:c>
    </x:row>
    <x:row r="156" ht="15" hidden="0" customHeight="1">
      <x:c r="A156" s="67"/>
      <x:c r="B156" s="38"/>
      <x:c r="C156" s="38"/>
      <x:c r="D156" s="38"/>
      <x:c r="E156" s="38" t="str">
        <x:f>IFERROR(XLOOKUP(D156,Fixtures!$A$5:$A$204,Fixtures!$M$5:$M$204,""),"")</x:f>
      </x:c>
      <x:c r="F156" s="38" t="str">
        <x:f>IFERROR(XLOOKUP(D156,Fixtures!$A$5:$A$204,Fixtures!$E$5:$E$204,""),"")</x:f>
      </x:c>
      <x:c r="G156" s="38" t="str">
        <x:f>IFERROR(XLOOKUP(D156,Fixtures!$A$5:$A$204,Fixtures!$G$5:$G$204,""),"")</x:f>
      </x:c>
      <x:c r="H156" s="38"/>
      <x:c r="I156" s="38"/>
      <x:c r="J156" s="38"/>
      <x:c r="K156" s="38"/>
      <x:c r="L156" s="60"/>
      <x:c r="M156" s="38"/>
      <x:c r="N156" s="38"/>
      <x:c r="O156" s="38"/>
      <x:c r="P156" s="38"/>
      <x:c r="Q156" s="38"/>
      <x:c r="R156" s="38"/>
      <x:c r="S156" s="38" t="str">
        <x:f>IF(R156="Approved Current","Yes","No")</x:f>
        <x:v>No</x:v>
      </x:c>
      <x:c r="T156" s="38"/>
      <x:c r="U156" s="38"/>
      <x:c r="V156" s="38"/>
      <x:c r="W156" s="38"/>
      <x:c r="X156" s="38" t="str">
        <x:f>IF(D156="","",IF(V156&lt;&gt;"",V156,IF(J156="Walkover",IF(K156=XLOOKUP(D156,Fixtures!$A$5:$A$204,Fixtures!$D$5:$D$204,""),Rules!$C$12,IF(K156=XLOOKUP(D156,Fixtures!$A$5:$A$204,Fixtures!$F$5:$F$204,""),Rules!$C$13,"")),H156)))</x:f>
      </x:c>
      <x:c r="Y156" s="38" t="str">
        <x:f>IF(D156="","",IF(W156&lt;&gt;"",W156,IF(J156="Walkover",IF(K156=XLOOKUP(D156,Fixtures!$A$5:$A$204,Fixtures!$F$5:$F$204,""),Rules!$C$12,IF(K156=XLOOKUP(D156,Fixtures!$A$5:$A$204,Fixtures!$D$5:$D$204,""),Rules!$C$13,"")),I156)))</x:f>
      </x:c>
      <x:c r="Z156" s="38" t="str">
        <x:f>IF(D156="","",IF(AND(R156="Approved Current",OR(J156="Played",J156="Walkover")),"Yes","No"))</x:f>
      </x:c>
      <x:c r="AA156" s="38" t="str">
        <x:f>IF(D156="","",IF(AND(R156="Approved Current",COUNTIFS($D$5:$D$204,D156,$R$5:$R$204,"Approved Current")&gt;1),"Multiple Approved Current",IF(AND(J156="Walkover",K156=""),"Walkover missing winner","OK")))</x:f>
      </x:c>
    </x:row>
    <x:row r="157" ht="15" hidden="0" customHeight="1">
      <x:c r="A157" s="67"/>
      <x:c r="B157" s="38"/>
      <x:c r="C157" s="38"/>
      <x:c r="D157" s="38"/>
      <x:c r="E157" s="38" t="str">
        <x:f>IFERROR(XLOOKUP(D157,Fixtures!$A$5:$A$204,Fixtures!$M$5:$M$204,""),"")</x:f>
      </x:c>
      <x:c r="F157" s="38" t="str">
        <x:f>IFERROR(XLOOKUP(D157,Fixtures!$A$5:$A$204,Fixtures!$E$5:$E$204,""),"")</x:f>
      </x:c>
      <x:c r="G157" s="38" t="str">
        <x:f>IFERROR(XLOOKUP(D157,Fixtures!$A$5:$A$204,Fixtures!$G$5:$G$204,""),"")</x:f>
      </x:c>
      <x:c r="H157" s="38"/>
      <x:c r="I157" s="38"/>
      <x:c r="J157" s="38"/>
      <x:c r="K157" s="38"/>
      <x:c r="L157" s="60"/>
      <x:c r="M157" s="38"/>
      <x:c r="N157" s="38"/>
      <x:c r="O157" s="38"/>
      <x:c r="P157" s="38"/>
      <x:c r="Q157" s="38"/>
      <x:c r="R157" s="38"/>
      <x:c r="S157" s="38" t="str">
        <x:f>IF(R157="Approved Current","Yes","No")</x:f>
        <x:v>No</x:v>
      </x:c>
      <x:c r="T157" s="38"/>
      <x:c r="U157" s="38"/>
      <x:c r="V157" s="38"/>
      <x:c r="W157" s="38"/>
      <x:c r="X157" s="38" t="str">
        <x:f>IF(D157="","",IF(V157&lt;&gt;"",V157,IF(J157="Walkover",IF(K157=XLOOKUP(D157,Fixtures!$A$5:$A$204,Fixtures!$D$5:$D$204,""),Rules!$C$12,IF(K157=XLOOKUP(D157,Fixtures!$A$5:$A$204,Fixtures!$F$5:$F$204,""),Rules!$C$13,"")),H157)))</x:f>
      </x:c>
      <x:c r="Y157" s="38" t="str">
        <x:f>IF(D157="","",IF(W157&lt;&gt;"",W157,IF(J157="Walkover",IF(K157=XLOOKUP(D157,Fixtures!$A$5:$A$204,Fixtures!$F$5:$F$204,""),Rules!$C$12,IF(K157=XLOOKUP(D157,Fixtures!$A$5:$A$204,Fixtures!$D$5:$D$204,""),Rules!$C$13,"")),I157)))</x:f>
      </x:c>
      <x:c r="Z157" s="38" t="str">
        <x:f>IF(D157="","",IF(AND(R157="Approved Current",OR(J157="Played",J157="Walkover")),"Yes","No"))</x:f>
      </x:c>
      <x:c r="AA157" s="38" t="str">
        <x:f>IF(D157="","",IF(AND(R157="Approved Current",COUNTIFS($D$5:$D$204,D157,$R$5:$R$204,"Approved Current")&gt;1),"Multiple Approved Current",IF(AND(J157="Walkover",K157=""),"Walkover missing winner","OK")))</x:f>
      </x:c>
    </x:row>
    <x:row r="158" ht="15" hidden="0" customHeight="1">
      <x:c r="A158" s="67"/>
      <x:c r="B158" s="38"/>
      <x:c r="C158" s="38"/>
      <x:c r="D158" s="38"/>
      <x:c r="E158" s="38" t="str">
        <x:f>IFERROR(XLOOKUP(D158,Fixtures!$A$5:$A$204,Fixtures!$M$5:$M$204,""),"")</x:f>
      </x:c>
      <x:c r="F158" s="38" t="str">
        <x:f>IFERROR(XLOOKUP(D158,Fixtures!$A$5:$A$204,Fixtures!$E$5:$E$204,""),"")</x:f>
      </x:c>
      <x:c r="G158" s="38" t="str">
        <x:f>IFERROR(XLOOKUP(D158,Fixtures!$A$5:$A$204,Fixtures!$G$5:$G$204,""),"")</x:f>
      </x:c>
      <x:c r="H158" s="38"/>
      <x:c r="I158" s="38"/>
      <x:c r="J158" s="38"/>
      <x:c r="K158" s="38"/>
      <x:c r="L158" s="60"/>
      <x:c r="M158" s="38"/>
      <x:c r="N158" s="38"/>
      <x:c r="O158" s="38"/>
      <x:c r="P158" s="38"/>
      <x:c r="Q158" s="38"/>
      <x:c r="R158" s="38"/>
      <x:c r="S158" s="38" t="str">
        <x:f>IF(R158="Approved Current","Yes","No")</x:f>
        <x:v>No</x:v>
      </x:c>
      <x:c r="T158" s="38"/>
      <x:c r="U158" s="38"/>
      <x:c r="V158" s="38"/>
      <x:c r="W158" s="38"/>
      <x:c r="X158" s="38" t="str">
        <x:f>IF(D158="","",IF(V158&lt;&gt;"",V158,IF(J158="Walkover",IF(K158=XLOOKUP(D158,Fixtures!$A$5:$A$204,Fixtures!$D$5:$D$204,""),Rules!$C$12,IF(K158=XLOOKUP(D158,Fixtures!$A$5:$A$204,Fixtures!$F$5:$F$204,""),Rules!$C$13,"")),H158)))</x:f>
      </x:c>
      <x:c r="Y158" s="38" t="str">
        <x:f>IF(D158="","",IF(W158&lt;&gt;"",W158,IF(J158="Walkover",IF(K158=XLOOKUP(D158,Fixtures!$A$5:$A$204,Fixtures!$F$5:$F$204,""),Rules!$C$12,IF(K158=XLOOKUP(D158,Fixtures!$A$5:$A$204,Fixtures!$D$5:$D$204,""),Rules!$C$13,"")),I158)))</x:f>
      </x:c>
      <x:c r="Z158" s="38" t="str">
        <x:f>IF(D158="","",IF(AND(R158="Approved Current",OR(J158="Played",J158="Walkover")),"Yes","No"))</x:f>
      </x:c>
      <x:c r="AA158" s="38" t="str">
        <x:f>IF(D158="","",IF(AND(R158="Approved Current",COUNTIFS($D$5:$D$204,D158,$R$5:$R$204,"Approved Current")&gt;1),"Multiple Approved Current",IF(AND(J158="Walkover",K158=""),"Walkover missing winner","OK")))</x:f>
      </x:c>
    </x:row>
    <x:row r="159" ht="15" hidden="0" customHeight="1">
      <x:c r="A159" s="67"/>
      <x:c r="B159" s="38"/>
      <x:c r="C159" s="38"/>
      <x:c r="D159" s="38"/>
      <x:c r="E159" s="38" t="str">
        <x:f>IFERROR(XLOOKUP(D159,Fixtures!$A$5:$A$204,Fixtures!$M$5:$M$204,""),"")</x:f>
      </x:c>
      <x:c r="F159" s="38" t="str">
        <x:f>IFERROR(XLOOKUP(D159,Fixtures!$A$5:$A$204,Fixtures!$E$5:$E$204,""),"")</x:f>
      </x:c>
      <x:c r="G159" s="38" t="str">
        <x:f>IFERROR(XLOOKUP(D159,Fixtures!$A$5:$A$204,Fixtures!$G$5:$G$204,""),"")</x:f>
      </x:c>
      <x:c r="H159" s="38"/>
      <x:c r="I159" s="38"/>
      <x:c r="J159" s="38"/>
      <x:c r="K159" s="38"/>
      <x:c r="L159" s="60"/>
      <x:c r="M159" s="38"/>
      <x:c r="N159" s="38"/>
      <x:c r="O159" s="38"/>
      <x:c r="P159" s="38"/>
      <x:c r="Q159" s="38"/>
      <x:c r="R159" s="38"/>
      <x:c r="S159" s="38" t="str">
        <x:f>IF(R159="Approved Current","Yes","No")</x:f>
        <x:v>No</x:v>
      </x:c>
      <x:c r="T159" s="38"/>
      <x:c r="U159" s="38"/>
      <x:c r="V159" s="38"/>
      <x:c r="W159" s="38"/>
      <x:c r="X159" s="38" t="str">
        <x:f>IF(D159="","",IF(V159&lt;&gt;"",V159,IF(J159="Walkover",IF(K159=XLOOKUP(D159,Fixtures!$A$5:$A$204,Fixtures!$D$5:$D$204,""),Rules!$C$12,IF(K159=XLOOKUP(D159,Fixtures!$A$5:$A$204,Fixtures!$F$5:$F$204,""),Rules!$C$13,"")),H159)))</x:f>
      </x:c>
      <x:c r="Y159" s="38" t="str">
        <x:f>IF(D159="","",IF(W159&lt;&gt;"",W159,IF(J159="Walkover",IF(K159=XLOOKUP(D159,Fixtures!$A$5:$A$204,Fixtures!$F$5:$F$204,""),Rules!$C$12,IF(K159=XLOOKUP(D159,Fixtures!$A$5:$A$204,Fixtures!$D$5:$D$204,""),Rules!$C$13,"")),I159)))</x:f>
      </x:c>
      <x:c r="Z159" s="38" t="str">
        <x:f>IF(D159="","",IF(AND(R159="Approved Current",OR(J159="Played",J159="Walkover")),"Yes","No"))</x:f>
      </x:c>
      <x:c r="AA159" s="38" t="str">
        <x:f>IF(D159="","",IF(AND(R159="Approved Current",COUNTIFS($D$5:$D$204,D159,$R$5:$R$204,"Approved Current")&gt;1),"Multiple Approved Current",IF(AND(J159="Walkover",K159=""),"Walkover missing winner","OK")))</x:f>
      </x:c>
    </x:row>
    <x:row r="160" ht="15" hidden="0" customHeight="1">
      <x:c r="A160" s="67"/>
      <x:c r="B160" s="38"/>
      <x:c r="C160" s="38"/>
      <x:c r="D160" s="38"/>
      <x:c r="E160" s="38" t="str">
        <x:f>IFERROR(XLOOKUP(D160,Fixtures!$A$5:$A$204,Fixtures!$M$5:$M$204,""),"")</x:f>
      </x:c>
      <x:c r="F160" s="38" t="str">
        <x:f>IFERROR(XLOOKUP(D160,Fixtures!$A$5:$A$204,Fixtures!$E$5:$E$204,""),"")</x:f>
      </x:c>
      <x:c r="G160" s="38" t="str">
        <x:f>IFERROR(XLOOKUP(D160,Fixtures!$A$5:$A$204,Fixtures!$G$5:$G$204,""),"")</x:f>
      </x:c>
      <x:c r="H160" s="38"/>
      <x:c r="I160" s="38"/>
      <x:c r="J160" s="38"/>
      <x:c r="K160" s="38"/>
      <x:c r="L160" s="60"/>
      <x:c r="M160" s="38"/>
      <x:c r="N160" s="38"/>
      <x:c r="O160" s="38"/>
      <x:c r="P160" s="38"/>
      <x:c r="Q160" s="38"/>
      <x:c r="R160" s="38"/>
      <x:c r="S160" s="38" t="str">
        <x:f>IF(R160="Approved Current","Yes","No")</x:f>
        <x:v>No</x:v>
      </x:c>
      <x:c r="T160" s="38"/>
      <x:c r="U160" s="38"/>
      <x:c r="V160" s="38"/>
      <x:c r="W160" s="38"/>
      <x:c r="X160" s="38" t="str">
        <x:f>IF(D160="","",IF(V160&lt;&gt;"",V160,IF(J160="Walkover",IF(K160=XLOOKUP(D160,Fixtures!$A$5:$A$204,Fixtures!$D$5:$D$204,""),Rules!$C$12,IF(K160=XLOOKUP(D160,Fixtures!$A$5:$A$204,Fixtures!$F$5:$F$204,""),Rules!$C$13,"")),H160)))</x:f>
      </x:c>
      <x:c r="Y160" s="38" t="str">
        <x:f>IF(D160="","",IF(W160&lt;&gt;"",W160,IF(J160="Walkover",IF(K160=XLOOKUP(D160,Fixtures!$A$5:$A$204,Fixtures!$F$5:$F$204,""),Rules!$C$12,IF(K160=XLOOKUP(D160,Fixtures!$A$5:$A$204,Fixtures!$D$5:$D$204,""),Rules!$C$13,"")),I160)))</x:f>
      </x:c>
      <x:c r="Z160" s="38" t="str">
        <x:f>IF(D160="","",IF(AND(R160="Approved Current",OR(J160="Played",J160="Walkover")),"Yes","No"))</x:f>
      </x:c>
      <x:c r="AA160" s="38" t="str">
        <x:f>IF(D160="","",IF(AND(R160="Approved Current",COUNTIFS($D$5:$D$204,D160,$R$5:$R$204,"Approved Current")&gt;1),"Multiple Approved Current",IF(AND(J160="Walkover",K160=""),"Walkover missing winner","OK")))</x:f>
      </x:c>
    </x:row>
    <x:row r="161" ht="15" hidden="0" customHeight="1">
      <x:c r="A161" s="67"/>
      <x:c r="B161" s="38"/>
      <x:c r="C161" s="38"/>
      <x:c r="D161" s="38"/>
      <x:c r="E161" s="38" t="str">
        <x:f>IFERROR(XLOOKUP(D161,Fixtures!$A$5:$A$204,Fixtures!$M$5:$M$204,""),"")</x:f>
      </x:c>
      <x:c r="F161" s="38" t="str">
        <x:f>IFERROR(XLOOKUP(D161,Fixtures!$A$5:$A$204,Fixtures!$E$5:$E$204,""),"")</x:f>
      </x:c>
      <x:c r="G161" s="38" t="str">
        <x:f>IFERROR(XLOOKUP(D161,Fixtures!$A$5:$A$204,Fixtures!$G$5:$G$204,""),"")</x:f>
      </x:c>
      <x:c r="H161" s="38"/>
      <x:c r="I161" s="38"/>
      <x:c r="J161" s="38"/>
      <x:c r="K161" s="38"/>
      <x:c r="L161" s="60"/>
      <x:c r="M161" s="38"/>
      <x:c r="N161" s="38"/>
      <x:c r="O161" s="38"/>
      <x:c r="P161" s="38"/>
      <x:c r="Q161" s="38"/>
      <x:c r="R161" s="38"/>
      <x:c r="S161" s="38" t="str">
        <x:f>IF(R161="Approved Current","Yes","No")</x:f>
        <x:v>No</x:v>
      </x:c>
      <x:c r="T161" s="38"/>
      <x:c r="U161" s="38"/>
      <x:c r="V161" s="38"/>
      <x:c r="W161" s="38"/>
      <x:c r="X161" s="38" t="str">
        <x:f>IF(D161="","",IF(V161&lt;&gt;"",V161,IF(J161="Walkover",IF(K161=XLOOKUP(D161,Fixtures!$A$5:$A$204,Fixtures!$D$5:$D$204,""),Rules!$C$12,IF(K161=XLOOKUP(D161,Fixtures!$A$5:$A$204,Fixtures!$F$5:$F$204,""),Rules!$C$13,"")),H161)))</x:f>
      </x:c>
      <x:c r="Y161" s="38" t="str">
        <x:f>IF(D161="","",IF(W161&lt;&gt;"",W161,IF(J161="Walkover",IF(K161=XLOOKUP(D161,Fixtures!$A$5:$A$204,Fixtures!$F$5:$F$204,""),Rules!$C$12,IF(K161=XLOOKUP(D161,Fixtures!$A$5:$A$204,Fixtures!$D$5:$D$204,""),Rules!$C$13,"")),I161)))</x:f>
      </x:c>
      <x:c r="Z161" s="38" t="str">
        <x:f>IF(D161="","",IF(AND(R161="Approved Current",OR(J161="Played",J161="Walkover")),"Yes","No"))</x:f>
      </x:c>
      <x:c r="AA161" s="38" t="str">
        <x:f>IF(D161="","",IF(AND(R161="Approved Current",COUNTIFS($D$5:$D$204,D161,$R$5:$R$204,"Approved Current")&gt;1),"Multiple Approved Current",IF(AND(J161="Walkover",K161=""),"Walkover missing winner","OK")))</x:f>
      </x:c>
    </x:row>
    <x:row r="162" ht="15" hidden="0" customHeight="1">
      <x:c r="A162" s="67"/>
      <x:c r="B162" s="38"/>
      <x:c r="C162" s="38"/>
      <x:c r="D162" s="38"/>
      <x:c r="E162" s="38" t="str">
        <x:f>IFERROR(XLOOKUP(D162,Fixtures!$A$5:$A$204,Fixtures!$M$5:$M$204,""),"")</x:f>
      </x:c>
      <x:c r="F162" s="38" t="str">
        <x:f>IFERROR(XLOOKUP(D162,Fixtures!$A$5:$A$204,Fixtures!$E$5:$E$204,""),"")</x:f>
      </x:c>
      <x:c r="G162" s="38" t="str">
        <x:f>IFERROR(XLOOKUP(D162,Fixtures!$A$5:$A$204,Fixtures!$G$5:$G$204,""),"")</x:f>
      </x:c>
      <x:c r="H162" s="38"/>
      <x:c r="I162" s="38"/>
      <x:c r="J162" s="38"/>
      <x:c r="K162" s="38"/>
      <x:c r="L162" s="60"/>
      <x:c r="M162" s="38"/>
      <x:c r="N162" s="38"/>
      <x:c r="O162" s="38"/>
      <x:c r="P162" s="38"/>
      <x:c r="Q162" s="38"/>
      <x:c r="R162" s="38"/>
      <x:c r="S162" s="38" t="str">
        <x:f>IF(R162="Approved Current","Yes","No")</x:f>
        <x:v>No</x:v>
      </x:c>
      <x:c r="T162" s="38"/>
      <x:c r="U162" s="38"/>
      <x:c r="V162" s="38"/>
      <x:c r="W162" s="38"/>
      <x:c r="X162" s="38" t="str">
        <x:f>IF(D162="","",IF(V162&lt;&gt;"",V162,IF(J162="Walkover",IF(K162=XLOOKUP(D162,Fixtures!$A$5:$A$204,Fixtures!$D$5:$D$204,""),Rules!$C$12,IF(K162=XLOOKUP(D162,Fixtures!$A$5:$A$204,Fixtures!$F$5:$F$204,""),Rules!$C$13,"")),H162)))</x:f>
      </x:c>
      <x:c r="Y162" s="38" t="str">
        <x:f>IF(D162="","",IF(W162&lt;&gt;"",W162,IF(J162="Walkover",IF(K162=XLOOKUP(D162,Fixtures!$A$5:$A$204,Fixtures!$F$5:$F$204,""),Rules!$C$12,IF(K162=XLOOKUP(D162,Fixtures!$A$5:$A$204,Fixtures!$D$5:$D$204,""),Rules!$C$13,"")),I162)))</x:f>
      </x:c>
      <x:c r="Z162" s="38" t="str">
        <x:f>IF(D162="","",IF(AND(R162="Approved Current",OR(J162="Played",J162="Walkover")),"Yes","No"))</x:f>
      </x:c>
      <x:c r="AA162" s="38" t="str">
        <x:f>IF(D162="","",IF(AND(R162="Approved Current",COUNTIFS($D$5:$D$204,D162,$R$5:$R$204,"Approved Current")&gt;1),"Multiple Approved Current",IF(AND(J162="Walkover",K162=""),"Walkover missing winner","OK")))</x:f>
      </x:c>
    </x:row>
    <x:row r="163" ht="15" hidden="0" customHeight="1">
      <x:c r="A163" s="67"/>
      <x:c r="B163" s="38"/>
      <x:c r="C163" s="38"/>
      <x:c r="D163" s="38"/>
      <x:c r="E163" s="38" t="str">
        <x:f>IFERROR(XLOOKUP(D163,Fixtures!$A$5:$A$204,Fixtures!$M$5:$M$204,""),"")</x:f>
      </x:c>
      <x:c r="F163" s="38" t="str">
        <x:f>IFERROR(XLOOKUP(D163,Fixtures!$A$5:$A$204,Fixtures!$E$5:$E$204,""),"")</x:f>
      </x:c>
      <x:c r="G163" s="38" t="str">
        <x:f>IFERROR(XLOOKUP(D163,Fixtures!$A$5:$A$204,Fixtures!$G$5:$G$204,""),"")</x:f>
      </x:c>
      <x:c r="H163" s="38"/>
      <x:c r="I163" s="38"/>
      <x:c r="J163" s="38"/>
      <x:c r="K163" s="38"/>
      <x:c r="L163" s="60"/>
      <x:c r="M163" s="38"/>
      <x:c r="N163" s="38"/>
      <x:c r="O163" s="38"/>
      <x:c r="P163" s="38"/>
      <x:c r="Q163" s="38"/>
      <x:c r="R163" s="38"/>
      <x:c r="S163" s="38" t="str">
        <x:f>IF(R163="Approved Current","Yes","No")</x:f>
        <x:v>No</x:v>
      </x:c>
      <x:c r="T163" s="38"/>
      <x:c r="U163" s="38"/>
      <x:c r="V163" s="38"/>
      <x:c r="W163" s="38"/>
      <x:c r="X163" s="38" t="str">
        <x:f>IF(D163="","",IF(V163&lt;&gt;"",V163,IF(J163="Walkover",IF(K163=XLOOKUP(D163,Fixtures!$A$5:$A$204,Fixtures!$D$5:$D$204,""),Rules!$C$12,IF(K163=XLOOKUP(D163,Fixtures!$A$5:$A$204,Fixtures!$F$5:$F$204,""),Rules!$C$13,"")),H163)))</x:f>
      </x:c>
      <x:c r="Y163" s="38" t="str">
        <x:f>IF(D163="","",IF(W163&lt;&gt;"",W163,IF(J163="Walkover",IF(K163=XLOOKUP(D163,Fixtures!$A$5:$A$204,Fixtures!$F$5:$F$204,""),Rules!$C$12,IF(K163=XLOOKUP(D163,Fixtures!$A$5:$A$204,Fixtures!$D$5:$D$204,""),Rules!$C$13,"")),I163)))</x:f>
      </x:c>
      <x:c r="Z163" s="38" t="str">
        <x:f>IF(D163="","",IF(AND(R163="Approved Current",OR(J163="Played",J163="Walkover")),"Yes","No"))</x:f>
      </x:c>
      <x:c r="AA163" s="38" t="str">
        <x:f>IF(D163="","",IF(AND(R163="Approved Current",COUNTIFS($D$5:$D$204,D163,$R$5:$R$204,"Approved Current")&gt;1),"Multiple Approved Current",IF(AND(J163="Walkover",K163=""),"Walkover missing winner","OK")))</x:f>
      </x:c>
    </x:row>
    <x:row r="164" ht="15" hidden="0" customHeight="1">
      <x:c r="A164" s="67"/>
      <x:c r="B164" s="38"/>
      <x:c r="C164" s="38"/>
      <x:c r="D164" s="38"/>
      <x:c r="E164" s="38" t="str">
        <x:f>IFERROR(XLOOKUP(D164,Fixtures!$A$5:$A$204,Fixtures!$M$5:$M$204,""),"")</x:f>
      </x:c>
      <x:c r="F164" s="38" t="str">
        <x:f>IFERROR(XLOOKUP(D164,Fixtures!$A$5:$A$204,Fixtures!$E$5:$E$204,""),"")</x:f>
      </x:c>
      <x:c r="G164" s="38" t="str">
        <x:f>IFERROR(XLOOKUP(D164,Fixtures!$A$5:$A$204,Fixtures!$G$5:$G$204,""),"")</x:f>
      </x:c>
      <x:c r="H164" s="38"/>
      <x:c r="I164" s="38"/>
      <x:c r="J164" s="38"/>
      <x:c r="K164" s="38"/>
      <x:c r="L164" s="60"/>
      <x:c r="M164" s="38"/>
      <x:c r="N164" s="38"/>
      <x:c r="O164" s="38"/>
      <x:c r="P164" s="38"/>
      <x:c r="Q164" s="38"/>
      <x:c r="R164" s="38"/>
      <x:c r="S164" s="38" t="str">
        <x:f>IF(R164="Approved Current","Yes","No")</x:f>
        <x:v>No</x:v>
      </x:c>
      <x:c r="T164" s="38"/>
      <x:c r="U164" s="38"/>
      <x:c r="V164" s="38"/>
      <x:c r="W164" s="38"/>
      <x:c r="X164" s="38" t="str">
        <x:f>IF(D164="","",IF(V164&lt;&gt;"",V164,IF(J164="Walkover",IF(K164=XLOOKUP(D164,Fixtures!$A$5:$A$204,Fixtures!$D$5:$D$204,""),Rules!$C$12,IF(K164=XLOOKUP(D164,Fixtures!$A$5:$A$204,Fixtures!$F$5:$F$204,""),Rules!$C$13,"")),H164)))</x:f>
      </x:c>
      <x:c r="Y164" s="38" t="str">
        <x:f>IF(D164="","",IF(W164&lt;&gt;"",W164,IF(J164="Walkover",IF(K164=XLOOKUP(D164,Fixtures!$A$5:$A$204,Fixtures!$F$5:$F$204,""),Rules!$C$12,IF(K164=XLOOKUP(D164,Fixtures!$A$5:$A$204,Fixtures!$D$5:$D$204,""),Rules!$C$13,"")),I164)))</x:f>
      </x:c>
      <x:c r="Z164" s="38" t="str">
        <x:f>IF(D164="","",IF(AND(R164="Approved Current",OR(J164="Played",J164="Walkover")),"Yes","No"))</x:f>
      </x:c>
      <x:c r="AA164" s="38" t="str">
        <x:f>IF(D164="","",IF(AND(R164="Approved Current",COUNTIFS($D$5:$D$204,D164,$R$5:$R$204,"Approved Current")&gt;1),"Multiple Approved Current",IF(AND(J164="Walkover",K164=""),"Walkover missing winner","OK")))</x:f>
      </x:c>
    </x:row>
    <x:row r="165" ht="15" hidden="0" customHeight="1">
      <x:c r="A165" s="67"/>
      <x:c r="B165" s="38"/>
      <x:c r="C165" s="38"/>
      <x:c r="D165" s="38"/>
      <x:c r="E165" s="38" t="str">
        <x:f>IFERROR(XLOOKUP(D165,Fixtures!$A$5:$A$204,Fixtures!$M$5:$M$204,""),"")</x:f>
      </x:c>
      <x:c r="F165" s="38" t="str">
        <x:f>IFERROR(XLOOKUP(D165,Fixtures!$A$5:$A$204,Fixtures!$E$5:$E$204,""),"")</x:f>
      </x:c>
      <x:c r="G165" s="38" t="str">
        <x:f>IFERROR(XLOOKUP(D165,Fixtures!$A$5:$A$204,Fixtures!$G$5:$G$204,""),"")</x:f>
      </x:c>
      <x:c r="H165" s="38"/>
      <x:c r="I165" s="38"/>
      <x:c r="J165" s="38"/>
      <x:c r="K165" s="38"/>
      <x:c r="L165" s="60"/>
      <x:c r="M165" s="38"/>
      <x:c r="N165" s="38"/>
      <x:c r="O165" s="38"/>
      <x:c r="P165" s="38"/>
      <x:c r="Q165" s="38"/>
      <x:c r="R165" s="38"/>
      <x:c r="S165" s="38" t="str">
        <x:f>IF(R165="Approved Current","Yes","No")</x:f>
        <x:v>No</x:v>
      </x:c>
      <x:c r="T165" s="38"/>
      <x:c r="U165" s="38"/>
      <x:c r="V165" s="38"/>
      <x:c r="W165" s="38"/>
      <x:c r="X165" s="38" t="str">
        <x:f>IF(D165="","",IF(V165&lt;&gt;"",V165,IF(J165="Walkover",IF(K165=XLOOKUP(D165,Fixtures!$A$5:$A$204,Fixtures!$D$5:$D$204,""),Rules!$C$12,IF(K165=XLOOKUP(D165,Fixtures!$A$5:$A$204,Fixtures!$F$5:$F$204,""),Rules!$C$13,"")),H165)))</x:f>
      </x:c>
      <x:c r="Y165" s="38" t="str">
        <x:f>IF(D165="","",IF(W165&lt;&gt;"",W165,IF(J165="Walkover",IF(K165=XLOOKUP(D165,Fixtures!$A$5:$A$204,Fixtures!$F$5:$F$204,""),Rules!$C$12,IF(K165=XLOOKUP(D165,Fixtures!$A$5:$A$204,Fixtures!$D$5:$D$204,""),Rules!$C$13,"")),I165)))</x:f>
      </x:c>
      <x:c r="Z165" s="38" t="str">
        <x:f>IF(D165="","",IF(AND(R165="Approved Current",OR(J165="Played",J165="Walkover")),"Yes","No"))</x:f>
      </x:c>
      <x:c r="AA165" s="38" t="str">
        <x:f>IF(D165="","",IF(AND(R165="Approved Current",COUNTIFS($D$5:$D$204,D165,$R$5:$R$204,"Approved Current")&gt;1),"Multiple Approved Current",IF(AND(J165="Walkover",K165=""),"Walkover missing winner","OK")))</x:f>
      </x:c>
    </x:row>
    <x:row r="166" ht="15" hidden="0" customHeight="1">
      <x:c r="A166" s="67"/>
      <x:c r="B166" s="38"/>
      <x:c r="C166" s="38"/>
      <x:c r="D166" s="38"/>
      <x:c r="E166" s="38" t="str">
        <x:f>IFERROR(XLOOKUP(D166,Fixtures!$A$5:$A$204,Fixtures!$M$5:$M$204,""),"")</x:f>
      </x:c>
      <x:c r="F166" s="38" t="str">
        <x:f>IFERROR(XLOOKUP(D166,Fixtures!$A$5:$A$204,Fixtures!$E$5:$E$204,""),"")</x:f>
      </x:c>
      <x:c r="G166" s="38" t="str">
        <x:f>IFERROR(XLOOKUP(D166,Fixtures!$A$5:$A$204,Fixtures!$G$5:$G$204,""),"")</x:f>
      </x:c>
      <x:c r="H166" s="38"/>
      <x:c r="I166" s="38"/>
      <x:c r="J166" s="38"/>
      <x:c r="K166" s="38"/>
      <x:c r="L166" s="60"/>
      <x:c r="M166" s="38"/>
      <x:c r="N166" s="38"/>
      <x:c r="O166" s="38"/>
      <x:c r="P166" s="38"/>
      <x:c r="Q166" s="38"/>
      <x:c r="R166" s="38"/>
      <x:c r="S166" s="38" t="str">
        <x:f>IF(R166="Approved Current","Yes","No")</x:f>
        <x:v>No</x:v>
      </x:c>
      <x:c r="T166" s="38"/>
      <x:c r="U166" s="38"/>
      <x:c r="V166" s="38"/>
      <x:c r="W166" s="38"/>
      <x:c r="X166" s="38" t="str">
        <x:f>IF(D166="","",IF(V166&lt;&gt;"",V166,IF(J166="Walkover",IF(K166=XLOOKUP(D166,Fixtures!$A$5:$A$204,Fixtures!$D$5:$D$204,""),Rules!$C$12,IF(K166=XLOOKUP(D166,Fixtures!$A$5:$A$204,Fixtures!$F$5:$F$204,""),Rules!$C$13,"")),H166)))</x:f>
      </x:c>
      <x:c r="Y166" s="38" t="str">
        <x:f>IF(D166="","",IF(W166&lt;&gt;"",W166,IF(J166="Walkover",IF(K166=XLOOKUP(D166,Fixtures!$A$5:$A$204,Fixtures!$F$5:$F$204,""),Rules!$C$12,IF(K166=XLOOKUP(D166,Fixtures!$A$5:$A$204,Fixtures!$D$5:$D$204,""),Rules!$C$13,"")),I166)))</x:f>
      </x:c>
      <x:c r="Z166" s="38" t="str">
        <x:f>IF(D166="","",IF(AND(R166="Approved Current",OR(J166="Played",J166="Walkover")),"Yes","No"))</x:f>
      </x:c>
      <x:c r="AA166" s="38" t="str">
        <x:f>IF(D166="","",IF(AND(R166="Approved Current",COUNTIFS($D$5:$D$204,D166,$R$5:$R$204,"Approved Current")&gt;1),"Multiple Approved Current",IF(AND(J166="Walkover",K166=""),"Walkover missing winner","OK")))</x:f>
      </x:c>
    </x:row>
    <x:row r="167" ht="15" hidden="0" customHeight="1">
      <x:c r="A167" s="67"/>
      <x:c r="B167" s="38"/>
      <x:c r="C167" s="38"/>
      <x:c r="D167" s="38"/>
      <x:c r="E167" s="38" t="str">
        <x:f>IFERROR(XLOOKUP(D167,Fixtures!$A$5:$A$204,Fixtures!$M$5:$M$204,""),"")</x:f>
      </x:c>
      <x:c r="F167" s="38" t="str">
        <x:f>IFERROR(XLOOKUP(D167,Fixtures!$A$5:$A$204,Fixtures!$E$5:$E$204,""),"")</x:f>
      </x:c>
      <x:c r="G167" s="38" t="str">
        <x:f>IFERROR(XLOOKUP(D167,Fixtures!$A$5:$A$204,Fixtures!$G$5:$G$204,""),"")</x:f>
      </x:c>
      <x:c r="H167" s="38"/>
      <x:c r="I167" s="38"/>
      <x:c r="J167" s="38"/>
      <x:c r="K167" s="38"/>
      <x:c r="L167" s="60"/>
      <x:c r="M167" s="38"/>
      <x:c r="N167" s="38"/>
      <x:c r="O167" s="38"/>
      <x:c r="P167" s="38"/>
      <x:c r="Q167" s="38"/>
      <x:c r="R167" s="38"/>
      <x:c r="S167" s="38" t="str">
        <x:f>IF(R167="Approved Current","Yes","No")</x:f>
        <x:v>No</x:v>
      </x:c>
      <x:c r="T167" s="38"/>
      <x:c r="U167" s="38"/>
      <x:c r="V167" s="38"/>
      <x:c r="W167" s="38"/>
      <x:c r="X167" s="38" t="str">
        <x:f>IF(D167="","",IF(V167&lt;&gt;"",V167,IF(J167="Walkover",IF(K167=XLOOKUP(D167,Fixtures!$A$5:$A$204,Fixtures!$D$5:$D$204,""),Rules!$C$12,IF(K167=XLOOKUP(D167,Fixtures!$A$5:$A$204,Fixtures!$F$5:$F$204,""),Rules!$C$13,"")),H167)))</x:f>
      </x:c>
      <x:c r="Y167" s="38" t="str">
        <x:f>IF(D167="","",IF(W167&lt;&gt;"",W167,IF(J167="Walkover",IF(K167=XLOOKUP(D167,Fixtures!$A$5:$A$204,Fixtures!$F$5:$F$204,""),Rules!$C$12,IF(K167=XLOOKUP(D167,Fixtures!$A$5:$A$204,Fixtures!$D$5:$D$204,""),Rules!$C$13,"")),I167)))</x:f>
      </x:c>
      <x:c r="Z167" s="38" t="str">
        <x:f>IF(D167="","",IF(AND(R167="Approved Current",OR(J167="Played",J167="Walkover")),"Yes","No"))</x:f>
      </x:c>
      <x:c r="AA167" s="38" t="str">
        <x:f>IF(D167="","",IF(AND(R167="Approved Current",COUNTIFS($D$5:$D$204,D167,$R$5:$R$204,"Approved Current")&gt;1),"Multiple Approved Current",IF(AND(J167="Walkover",K167=""),"Walkover missing winner","OK")))</x:f>
      </x:c>
    </x:row>
    <x:row r="168" ht="15" hidden="0" customHeight="1">
      <x:c r="A168" s="67"/>
      <x:c r="B168" s="38"/>
      <x:c r="C168" s="38"/>
      <x:c r="D168" s="38"/>
      <x:c r="E168" s="38" t="str">
        <x:f>IFERROR(XLOOKUP(D168,Fixtures!$A$5:$A$204,Fixtures!$M$5:$M$204,""),"")</x:f>
      </x:c>
      <x:c r="F168" s="38" t="str">
        <x:f>IFERROR(XLOOKUP(D168,Fixtures!$A$5:$A$204,Fixtures!$E$5:$E$204,""),"")</x:f>
      </x:c>
      <x:c r="G168" s="38" t="str">
        <x:f>IFERROR(XLOOKUP(D168,Fixtures!$A$5:$A$204,Fixtures!$G$5:$G$204,""),"")</x:f>
      </x:c>
      <x:c r="H168" s="38"/>
      <x:c r="I168" s="38"/>
      <x:c r="J168" s="38"/>
      <x:c r="K168" s="38"/>
      <x:c r="L168" s="60"/>
      <x:c r="M168" s="38"/>
      <x:c r="N168" s="38"/>
      <x:c r="O168" s="38"/>
      <x:c r="P168" s="38"/>
      <x:c r="Q168" s="38"/>
      <x:c r="R168" s="38"/>
      <x:c r="S168" s="38" t="str">
        <x:f>IF(R168="Approved Current","Yes","No")</x:f>
        <x:v>No</x:v>
      </x:c>
      <x:c r="T168" s="38"/>
      <x:c r="U168" s="38"/>
      <x:c r="V168" s="38"/>
      <x:c r="W168" s="38"/>
      <x:c r="X168" s="38" t="str">
        <x:f>IF(D168="","",IF(V168&lt;&gt;"",V168,IF(J168="Walkover",IF(K168=XLOOKUP(D168,Fixtures!$A$5:$A$204,Fixtures!$D$5:$D$204,""),Rules!$C$12,IF(K168=XLOOKUP(D168,Fixtures!$A$5:$A$204,Fixtures!$F$5:$F$204,""),Rules!$C$13,"")),H168)))</x:f>
      </x:c>
      <x:c r="Y168" s="38" t="str">
        <x:f>IF(D168="","",IF(W168&lt;&gt;"",W168,IF(J168="Walkover",IF(K168=XLOOKUP(D168,Fixtures!$A$5:$A$204,Fixtures!$F$5:$F$204,""),Rules!$C$12,IF(K168=XLOOKUP(D168,Fixtures!$A$5:$A$204,Fixtures!$D$5:$D$204,""),Rules!$C$13,"")),I168)))</x:f>
      </x:c>
      <x:c r="Z168" s="38" t="str">
        <x:f>IF(D168="","",IF(AND(R168="Approved Current",OR(J168="Played",J168="Walkover")),"Yes","No"))</x:f>
      </x:c>
      <x:c r="AA168" s="38" t="str">
        <x:f>IF(D168="","",IF(AND(R168="Approved Current",COUNTIFS($D$5:$D$204,D168,$R$5:$R$204,"Approved Current")&gt;1),"Multiple Approved Current",IF(AND(J168="Walkover",K168=""),"Walkover missing winner","OK")))</x:f>
      </x:c>
    </x:row>
    <x:row r="169" ht="15" hidden="0" customHeight="1">
      <x:c r="A169" s="67"/>
      <x:c r="B169" s="38"/>
      <x:c r="C169" s="38"/>
      <x:c r="D169" s="38"/>
      <x:c r="E169" s="38" t="str">
        <x:f>IFERROR(XLOOKUP(D169,Fixtures!$A$5:$A$204,Fixtures!$M$5:$M$204,""),"")</x:f>
      </x:c>
      <x:c r="F169" s="38" t="str">
        <x:f>IFERROR(XLOOKUP(D169,Fixtures!$A$5:$A$204,Fixtures!$E$5:$E$204,""),"")</x:f>
      </x:c>
      <x:c r="G169" s="38" t="str">
        <x:f>IFERROR(XLOOKUP(D169,Fixtures!$A$5:$A$204,Fixtures!$G$5:$G$204,""),"")</x:f>
      </x:c>
      <x:c r="H169" s="38"/>
      <x:c r="I169" s="38"/>
      <x:c r="J169" s="38"/>
      <x:c r="K169" s="38"/>
      <x:c r="L169" s="60"/>
      <x:c r="M169" s="38"/>
      <x:c r="N169" s="38"/>
      <x:c r="O169" s="38"/>
      <x:c r="P169" s="38"/>
      <x:c r="Q169" s="38"/>
      <x:c r="R169" s="38"/>
      <x:c r="S169" s="38" t="str">
        <x:f>IF(R169="Approved Current","Yes","No")</x:f>
        <x:v>No</x:v>
      </x:c>
      <x:c r="T169" s="38"/>
      <x:c r="U169" s="38"/>
      <x:c r="V169" s="38"/>
      <x:c r="W169" s="38"/>
      <x:c r="X169" s="38" t="str">
        <x:f>IF(D169="","",IF(V169&lt;&gt;"",V169,IF(J169="Walkover",IF(K169=XLOOKUP(D169,Fixtures!$A$5:$A$204,Fixtures!$D$5:$D$204,""),Rules!$C$12,IF(K169=XLOOKUP(D169,Fixtures!$A$5:$A$204,Fixtures!$F$5:$F$204,""),Rules!$C$13,"")),H169)))</x:f>
      </x:c>
      <x:c r="Y169" s="38" t="str">
        <x:f>IF(D169="","",IF(W169&lt;&gt;"",W169,IF(J169="Walkover",IF(K169=XLOOKUP(D169,Fixtures!$A$5:$A$204,Fixtures!$F$5:$F$204,""),Rules!$C$12,IF(K169=XLOOKUP(D169,Fixtures!$A$5:$A$204,Fixtures!$D$5:$D$204,""),Rules!$C$13,"")),I169)))</x:f>
      </x:c>
      <x:c r="Z169" s="38" t="str">
        <x:f>IF(D169="","",IF(AND(R169="Approved Current",OR(J169="Played",J169="Walkover")),"Yes","No"))</x:f>
      </x:c>
      <x:c r="AA169" s="38" t="str">
        <x:f>IF(D169="","",IF(AND(R169="Approved Current",COUNTIFS($D$5:$D$204,D169,$R$5:$R$204,"Approved Current")&gt;1),"Multiple Approved Current",IF(AND(J169="Walkover",K169=""),"Walkover missing winner","OK")))</x:f>
      </x:c>
    </x:row>
    <x:row r="170" ht="15" hidden="0" customHeight="1">
      <x:c r="A170" s="67"/>
      <x:c r="B170" s="38"/>
      <x:c r="C170" s="38"/>
      <x:c r="D170" s="38"/>
      <x:c r="E170" s="38" t="str">
        <x:f>IFERROR(XLOOKUP(D170,Fixtures!$A$5:$A$204,Fixtures!$M$5:$M$204,""),"")</x:f>
      </x:c>
      <x:c r="F170" s="38" t="str">
        <x:f>IFERROR(XLOOKUP(D170,Fixtures!$A$5:$A$204,Fixtures!$E$5:$E$204,""),"")</x:f>
      </x:c>
      <x:c r="G170" s="38" t="str">
        <x:f>IFERROR(XLOOKUP(D170,Fixtures!$A$5:$A$204,Fixtures!$G$5:$G$204,""),"")</x:f>
      </x:c>
      <x:c r="H170" s="38"/>
      <x:c r="I170" s="38"/>
      <x:c r="J170" s="38"/>
      <x:c r="K170" s="38"/>
      <x:c r="L170" s="60"/>
      <x:c r="M170" s="38"/>
      <x:c r="N170" s="38"/>
      <x:c r="O170" s="38"/>
      <x:c r="P170" s="38"/>
      <x:c r="Q170" s="38"/>
      <x:c r="R170" s="38"/>
      <x:c r="S170" s="38" t="str">
        <x:f>IF(R170="Approved Current","Yes","No")</x:f>
        <x:v>No</x:v>
      </x:c>
      <x:c r="T170" s="38"/>
      <x:c r="U170" s="38"/>
      <x:c r="V170" s="38"/>
      <x:c r="W170" s="38"/>
      <x:c r="X170" s="38" t="str">
        <x:f>IF(D170="","",IF(V170&lt;&gt;"",V170,IF(J170="Walkover",IF(K170=XLOOKUP(D170,Fixtures!$A$5:$A$204,Fixtures!$D$5:$D$204,""),Rules!$C$12,IF(K170=XLOOKUP(D170,Fixtures!$A$5:$A$204,Fixtures!$F$5:$F$204,""),Rules!$C$13,"")),H170)))</x:f>
      </x:c>
      <x:c r="Y170" s="38" t="str">
        <x:f>IF(D170="","",IF(W170&lt;&gt;"",W170,IF(J170="Walkover",IF(K170=XLOOKUP(D170,Fixtures!$A$5:$A$204,Fixtures!$F$5:$F$204,""),Rules!$C$12,IF(K170=XLOOKUP(D170,Fixtures!$A$5:$A$204,Fixtures!$D$5:$D$204,""),Rules!$C$13,"")),I170)))</x:f>
      </x:c>
      <x:c r="Z170" s="38" t="str">
        <x:f>IF(D170="","",IF(AND(R170="Approved Current",OR(J170="Played",J170="Walkover")),"Yes","No"))</x:f>
      </x:c>
      <x:c r="AA170" s="38" t="str">
        <x:f>IF(D170="","",IF(AND(R170="Approved Current",COUNTIFS($D$5:$D$204,D170,$R$5:$R$204,"Approved Current")&gt;1),"Multiple Approved Current",IF(AND(J170="Walkover",K170=""),"Walkover missing winner","OK")))</x:f>
      </x:c>
    </x:row>
    <x:row r="171" ht="15" hidden="0" customHeight="1">
      <x:c r="A171" s="67"/>
      <x:c r="B171" s="38"/>
      <x:c r="C171" s="38"/>
      <x:c r="D171" s="38"/>
      <x:c r="E171" s="38" t="str">
        <x:f>IFERROR(XLOOKUP(D171,Fixtures!$A$5:$A$204,Fixtures!$M$5:$M$204,""),"")</x:f>
      </x:c>
      <x:c r="F171" s="38" t="str">
        <x:f>IFERROR(XLOOKUP(D171,Fixtures!$A$5:$A$204,Fixtures!$E$5:$E$204,""),"")</x:f>
      </x:c>
      <x:c r="G171" s="38" t="str">
        <x:f>IFERROR(XLOOKUP(D171,Fixtures!$A$5:$A$204,Fixtures!$G$5:$G$204,""),"")</x:f>
      </x:c>
      <x:c r="H171" s="38"/>
      <x:c r="I171" s="38"/>
      <x:c r="J171" s="38"/>
      <x:c r="K171" s="38"/>
      <x:c r="L171" s="60"/>
      <x:c r="M171" s="38"/>
      <x:c r="N171" s="38"/>
      <x:c r="O171" s="38"/>
      <x:c r="P171" s="38"/>
      <x:c r="Q171" s="38"/>
      <x:c r="R171" s="38"/>
      <x:c r="S171" s="38" t="str">
        <x:f>IF(R171="Approved Current","Yes","No")</x:f>
        <x:v>No</x:v>
      </x:c>
      <x:c r="T171" s="38"/>
      <x:c r="U171" s="38"/>
      <x:c r="V171" s="38"/>
      <x:c r="W171" s="38"/>
      <x:c r="X171" s="38" t="str">
        <x:f>IF(D171="","",IF(V171&lt;&gt;"",V171,IF(J171="Walkover",IF(K171=XLOOKUP(D171,Fixtures!$A$5:$A$204,Fixtures!$D$5:$D$204,""),Rules!$C$12,IF(K171=XLOOKUP(D171,Fixtures!$A$5:$A$204,Fixtures!$F$5:$F$204,""),Rules!$C$13,"")),H171)))</x:f>
      </x:c>
      <x:c r="Y171" s="38" t="str">
        <x:f>IF(D171="","",IF(W171&lt;&gt;"",W171,IF(J171="Walkover",IF(K171=XLOOKUP(D171,Fixtures!$A$5:$A$204,Fixtures!$F$5:$F$204,""),Rules!$C$12,IF(K171=XLOOKUP(D171,Fixtures!$A$5:$A$204,Fixtures!$D$5:$D$204,""),Rules!$C$13,"")),I171)))</x:f>
      </x:c>
      <x:c r="Z171" s="38" t="str">
        <x:f>IF(D171="","",IF(AND(R171="Approved Current",OR(J171="Played",J171="Walkover")),"Yes","No"))</x:f>
      </x:c>
      <x:c r="AA171" s="38" t="str">
        <x:f>IF(D171="","",IF(AND(R171="Approved Current",COUNTIFS($D$5:$D$204,D171,$R$5:$R$204,"Approved Current")&gt;1),"Multiple Approved Current",IF(AND(J171="Walkover",K171=""),"Walkover missing winner","OK")))</x:f>
      </x:c>
    </x:row>
    <x:row r="172" ht="15" hidden="0" customHeight="1">
      <x:c r="A172" s="67"/>
      <x:c r="B172" s="38"/>
      <x:c r="C172" s="38"/>
      <x:c r="D172" s="38"/>
      <x:c r="E172" s="38" t="str">
        <x:f>IFERROR(XLOOKUP(D172,Fixtures!$A$5:$A$204,Fixtures!$M$5:$M$204,""),"")</x:f>
      </x:c>
      <x:c r="F172" s="38" t="str">
        <x:f>IFERROR(XLOOKUP(D172,Fixtures!$A$5:$A$204,Fixtures!$E$5:$E$204,""),"")</x:f>
      </x:c>
      <x:c r="G172" s="38" t="str">
        <x:f>IFERROR(XLOOKUP(D172,Fixtures!$A$5:$A$204,Fixtures!$G$5:$G$204,""),"")</x:f>
      </x:c>
      <x:c r="H172" s="38"/>
      <x:c r="I172" s="38"/>
      <x:c r="J172" s="38"/>
      <x:c r="K172" s="38"/>
      <x:c r="L172" s="60"/>
      <x:c r="M172" s="38"/>
      <x:c r="N172" s="38"/>
      <x:c r="O172" s="38"/>
      <x:c r="P172" s="38"/>
      <x:c r="Q172" s="38"/>
      <x:c r="R172" s="38"/>
      <x:c r="S172" s="38" t="str">
        <x:f>IF(R172="Approved Current","Yes","No")</x:f>
        <x:v>No</x:v>
      </x:c>
      <x:c r="T172" s="38"/>
      <x:c r="U172" s="38"/>
      <x:c r="V172" s="38"/>
      <x:c r="W172" s="38"/>
      <x:c r="X172" s="38" t="str">
        <x:f>IF(D172="","",IF(V172&lt;&gt;"",V172,IF(J172="Walkover",IF(K172=XLOOKUP(D172,Fixtures!$A$5:$A$204,Fixtures!$D$5:$D$204,""),Rules!$C$12,IF(K172=XLOOKUP(D172,Fixtures!$A$5:$A$204,Fixtures!$F$5:$F$204,""),Rules!$C$13,"")),H172)))</x:f>
      </x:c>
      <x:c r="Y172" s="38" t="str">
        <x:f>IF(D172="","",IF(W172&lt;&gt;"",W172,IF(J172="Walkover",IF(K172=XLOOKUP(D172,Fixtures!$A$5:$A$204,Fixtures!$F$5:$F$204,""),Rules!$C$12,IF(K172=XLOOKUP(D172,Fixtures!$A$5:$A$204,Fixtures!$D$5:$D$204,""),Rules!$C$13,"")),I172)))</x:f>
      </x:c>
      <x:c r="Z172" s="38" t="str">
        <x:f>IF(D172="","",IF(AND(R172="Approved Current",OR(J172="Played",J172="Walkover")),"Yes","No"))</x:f>
      </x:c>
      <x:c r="AA172" s="38" t="str">
        <x:f>IF(D172="","",IF(AND(R172="Approved Current",COUNTIFS($D$5:$D$204,D172,$R$5:$R$204,"Approved Current")&gt;1),"Multiple Approved Current",IF(AND(J172="Walkover",K172=""),"Walkover missing winner","OK")))</x:f>
      </x:c>
    </x:row>
    <x:row r="173" ht="15" hidden="0" customHeight="1">
      <x:c r="A173" s="67"/>
      <x:c r="B173" s="38"/>
      <x:c r="C173" s="38"/>
      <x:c r="D173" s="38"/>
      <x:c r="E173" s="38" t="str">
        <x:f>IFERROR(XLOOKUP(D173,Fixtures!$A$5:$A$204,Fixtures!$M$5:$M$204,""),"")</x:f>
      </x:c>
      <x:c r="F173" s="38" t="str">
        <x:f>IFERROR(XLOOKUP(D173,Fixtures!$A$5:$A$204,Fixtures!$E$5:$E$204,""),"")</x:f>
      </x:c>
      <x:c r="G173" s="38" t="str">
        <x:f>IFERROR(XLOOKUP(D173,Fixtures!$A$5:$A$204,Fixtures!$G$5:$G$204,""),"")</x:f>
      </x:c>
      <x:c r="H173" s="38"/>
      <x:c r="I173" s="38"/>
      <x:c r="J173" s="38"/>
      <x:c r="K173" s="38"/>
      <x:c r="L173" s="60"/>
      <x:c r="M173" s="38"/>
      <x:c r="N173" s="38"/>
      <x:c r="O173" s="38"/>
      <x:c r="P173" s="38"/>
      <x:c r="Q173" s="38"/>
      <x:c r="R173" s="38"/>
      <x:c r="S173" s="38" t="str">
        <x:f>IF(R173="Approved Current","Yes","No")</x:f>
        <x:v>No</x:v>
      </x:c>
      <x:c r="T173" s="38"/>
      <x:c r="U173" s="38"/>
      <x:c r="V173" s="38"/>
      <x:c r="W173" s="38"/>
      <x:c r="X173" s="38" t="str">
        <x:f>IF(D173="","",IF(V173&lt;&gt;"",V173,IF(J173="Walkover",IF(K173=XLOOKUP(D173,Fixtures!$A$5:$A$204,Fixtures!$D$5:$D$204,""),Rules!$C$12,IF(K173=XLOOKUP(D173,Fixtures!$A$5:$A$204,Fixtures!$F$5:$F$204,""),Rules!$C$13,"")),H173)))</x:f>
      </x:c>
      <x:c r="Y173" s="38" t="str">
        <x:f>IF(D173="","",IF(W173&lt;&gt;"",W173,IF(J173="Walkover",IF(K173=XLOOKUP(D173,Fixtures!$A$5:$A$204,Fixtures!$F$5:$F$204,""),Rules!$C$12,IF(K173=XLOOKUP(D173,Fixtures!$A$5:$A$204,Fixtures!$D$5:$D$204,""),Rules!$C$13,"")),I173)))</x:f>
      </x:c>
      <x:c r="Z173" s="38" t="str">
        <x:f>IF(D173="","",IF(AND(R173="Approved Current",OR(J173="Played",J173="Walkover")),"Yes","No"))</x:f>
      </x:c>
      <x:c r="AA173" s="38" t="str">
        <x:f>IF(D173="","",IF(AND(R173="Approved Current",COUNTIFS($D$5:$D$204,D173,$R$5:$R$204,"Approved Current")&gt;1),"Multiple Approved Current",IF(AND(J173="Walkover",K173=""),"Walkover missing winner","OK")))</x:f>
      </x:c>
    </x:row>
    <x:row r="174" ht="15" hidden="0" customHeight="1">
      <x:c r="A174" s="67"/>
      <x:c r="B174" s="38"/>
      <x:c r="C174" s="38"/>
      <x:c r="D174" s="38"/>
      <x:c r="E174" s="38" t="str">
        <x:f>IFERROR(XLOOKUP(D174,Fixtures!$A$5:$A$204,Fixtures!$M$5:$M$204,""),"")</x:f>
      </x:c>
      <x:c r="F174" s="38" t="str">
        <x:f>IFERROR(XLOOKUP(D174,Fixtures!$A$5:$A$204,Fixtures!$E$5:$E$204,""),"")</x:f>
      </x:c>
      <x:c r="G174" s="38" t="str">
        <x:f>IFERROR(XLOOKUP(D174,Fixtures!$A$5:$A$204,Fixtures!$G$5:$G$204,""),"")</x:f>
      </x:c>
      <x:c r="H174" s="38"/>
      <x:c r="I174" s="38"/>
      <x:c r="J174" s="38"/>
      <x:c r="K174" s="38"/>
      <x:c r="L174" s="60"/>
      <x:c r="M174" s="38"/>
      <x:c r="N174" s="38"/>
      <x:c r="O174" s="38"/>
      <x:c r="P174" s="38"/>
      <x:c r="Q174" s="38"/>
      <x:c r="R174" s="38"/>
      <x:c r="S174" s="38" t="str">
        <x:f>IF(R174="Approved Current","Yes","No")</x:f>
        <x:v>No</x:v>
      </x:c>
      <x:c r="T174" s="38"/>
      <x:c r="U174" s="38"/>
      <x:c r="V174" s="38"/>
      <x:c r="W174" s="38"/>
      <x:c r="X174" s="38" t="str">
        <x:f>IF(D174="","",IF(V174&lt;&gt;"",V174,IF(J174="Walkover",IF(K174=XLOOKUP(D174,Fixtures!$A$5:$A$204,Fixtures!$D$5:$D$204,""),Rules!$C$12,IF(K174=XLOOKUP(D174,Fixtures!$A$5:$A$204,Fixtures!$F$5:$F$204,""),Rules!$C$13,"")),H174)))</x:f>
      </x:c>
      <x:c r="Y174" s="38" t="str">
        <x:f>IF(D174="","",IF(W174&lt;&gt;"",W174,IF(J174="Walkover",IF(K174=XLOOKUP(D174,Fixtures!$A$5:$A$204,Fixtures!$F$5:$F$204,""),Rules!$C$12,IF(K174=XLOOKUP(D174,Fixtures!$A$5:$A$204,Fixtures!$D$5:$D$204,""),Rules!$C$13,"")),I174)))</x:f>
      </x:c>
      <x:c r="Z174" s="38" t="str">
        <x:f>IF(D174="","",IF(AND(R174="Approved Current",OR(J174="Played",J174="Walkover")),"Yes","No"))</x:f>
      </x:c>
      <x:c r="AA174" s="38" t="str">
        <x:f>IF(D174="","",IF(AND(R174="Approved Current",COUNTIFS($D$5:$D$204,D174,$R$5:$R$204,"Approved Current")&gt;1),"Multiple Approved Current",IF(AND(J174="Walkover",K174=""),"Walkover missing winner","OK")))</x:f>
      </x:c>
    </x:row>
    <x:row r="175" ht="15" hidden="0" customHeight="1">
      <x:c r="A175" s="67"/>
      <x:c r="B175" s="38"/>
      <x:c r="C175" s="38"/>
      <x:c r="D175" s="38"/>
      <x:c r="E175" s="38" t="str">
        <x:f>IFERROR(XLOOKUP(D175,Fixtures!$A$5:$A$204,Fixtures!$M$5:$M$204,""),"")</x:f>
      </x:c>
      <x:c r="F175" s="38" t="str">
        <x:f>IFERROR(XLOOKUP(D175,Fixtures!$A$5:$A$204,Fixtures!$E$5:$E$204,""),"")</x:f>
      </x:c>
      <x:c r="G175" s="38" t="str">
        <x:f>IFERROR(XLOOKUP(D175,Fixtures!$A$5:$A$204,Fixtures!$G$5:$G$204,""),"")</x:f>
      </x:c>
      <x:c r="H175" s="38"/>
      <x:c r="I175" s="38"/>
      <x:c r="J175" s="38"/>
      <x:c r="K175" s="38"/>
      <x:c r="L175" s="60"/>
      <x:c r="M175" s="38"/>
      <x:c r="N175" s="38"/>
      <x:c r="O175" s="38"/>
      <x:c r="P175" s="38"/>
      <x:c r="Q175" s="38"/>
      <x:c r="R175" s="38"/>
      <x:c r="S175" s="38" t="str">
        <x:f>IF(R175="Approved Current","Yes","No")</x:f>
        <x:v>No</x:v>
      </x:c>
      <x:c r="T175" s="38"/>
      <x:c r="U175" s="38"/>
      <x:c r="V175" s="38"/>
      <x:c r="W175" s="38"/>
      <x:c r="X175" s="38" t="str">
        <x:f>IF(D175="","",IF(V175&lt;&gt;"",V175,IF(J175="Walkover",IF(K175=XLOOKUP(D175,Fixtures!$A$5:$A$204,Fixtures!$D$5:$D$204,""),Rules!$C$12,IF(K175=XLOOKUP(D175,Fixtures!$A$5:$A$204,Fixtures!$F$5:$F$204,""),Rules!$C$13,"")),H175)))</x:f>
      </x:c>
      <x:c r="Y175" s="38" t="str">
        <x:f>IF(D175="","",IF(W175&lt;&gt;"",W175,IF(J175="Walkover",IF(K175=XLOOKUP(D175,Fixtures!$A$5:$A$204,Fixtures!$F$5:$F$204,""),Rules!$C$12,IF(K175=XLOOKUP(D175,Fixtures!$A$5:$A$204,Fixtures!$D$5:$D$204,""),Rules!$C$13,"")),I175)))</x:f>
      </x:c>
      <x:c r="Z175" s="38" t="str">
        <x:f>IF(D175="","",IF(AND(R175="Approved Current",OR(J175="Played",J175="Walkover")),"Yes","No"))</x:f>
      </x:c>
      <x:c r="AA175" s="38" t="str">
        <x:f>IF(D175="","",IF(AND(R175="Approved Current",COUNTIFS($D$5:$D$204,D175,$R$5:$R$204,"Approved Current")&gt;1),"Multiple Approved Current",IF(AND(J175="Walkover",K175=""),"Walkover missing winner","OK")))</x:f>
      </x:c>
    </x:row>
    <x:row r="176" ht="15" hidden="0" customHeight="1">
      <x:c r="A176" s="67"/>
      <x:c r="B176" s="38"/>
      <x:c r="C176" s="38"/>
      <x:c r="D176" s="38"/>
      <x:c r="E176" s="38" t="str">
        <x:f>IFERROR(XLOOKUP(D176,Fixtures!$A$5:$A$204,Fixtures!$M$5:$M$204,""),"")</x:f>
      </x:c>
      <x:c r="F176" s="38" t="str">
        <x:f>IFERROR(XLOOKUP(D176,Fixtures!$A$5:$A$204,Fixtures!$E$5:$E$204,""),"")</x:f>
      </x:c>
      <x:c r="G176" s="38" t="str">
        <x:f>IFERROR(XLOOKUP(D176,Fixtures!$A$5:$A$204,Fixtures!$G$5:$G$204,""),"")</x:f>
      </x:c>
      <x:c r="H176" s="38"/>
      <x:c r="I176" s="38"/>
      <x:c r="J176" s="38"/>
      <x:c r="K176" s="38"/>
      <x:c r="L176" s="60"/>
      <x:c r="M176" s="38"/>
      <x:c r="N176" s="38"/>
      <x:c r="O176" s="38"/>
      <x:c r="P176" s="38"/>
      <x:c r="Q176" s="38"/>
      <x:c r="R176" s="38"/>
      <x:c r="S176" s="38" t="str">
        <x:f>IF(R176="Approved Current","Yes","No")</x:f>
        <x:v>No</x:v>
      </x:c>
      <x:c r="T176" s="38"/>
      <x:c r="U176" s="38"/>
      <x:c r="V176" s="38"/>
      <x:c r="W176" s="38"/>
      <x:c r="X176" s="38" t="str">
        <x:f>IF(D176="","",IF(V176&lt;&gt;"",V176,IF(J176="Walkover",IF(K176=XLOOKUP(D176,Fixtures!$A$5:$A$204,Fixtures!$D$5:$D$204,""),Rules!$C$12,IF(K176=XLOOKUP(D176,Fixtures!$A$5:$A$204,Fixtures!$F$5:$F$204,""),Rules!$C$13,"")),H176)))</x:f>
      </x:c>
      <x:c r="Y176" s="38" t="str">
        <x:f>IF(D176="","",IF(W176&lt;&gt;"",W176,IF(J176="Walkover",IF(K176=XLOOKUP(D176,Fixtures!$A$5:$A$204,Fixtures!$F$5:$F$204,""),Rules!$C$12,IF(K176=XLOOKUP(D176,Fixtures!$A$5:$A$204,Fixtures!$D$5:$D$204,""),Rules!$C$13,"")),I176)))</x:f>
      </x:c>
      <x:c r="Z176" s="38" t="str">
        <x:f>IF(D176="","",IF(AND(R176="Approved Current",OR(J176="Played",J176="Walkover")),"Yes","No"))</x:f>
      </x:c>
      <x:c r="AA176" s="38" t="str">
        <x:f>IF(D176="","",IF(AND(R176="Approved Current",COUNTIFS($D$5:$D$204,D176,$R$5:$R$204,"Approved Current")&gt;1),"Multiple Approved Current",IF(AND(J176="Walkover",K176=""),"Walkover missing winner","OK")))</x:f>
      </x:c>
    </x:row>
    <x:row r="177" ht="15" hidden="0" customHeight="1">
      <x:c r="A177" s="67"/>
      <x:c r="B177" s="38"/>
      <x:c r="C177" s="38"/>
      <x:c r="D177" s="38"/>
      <x:c r="E177" s="38" t="str">
        <x:f>IFERROR(XLOOKUP(D177,Fixtures!$A$5:$A$204,Fixtures!$M$5:$M$204,""),"")</x:f>
      </x:c>
      <x:c r="F177" s="38" t="str">
        <x:f>IFERROR(XLOOKUP(D177,Fixtures!$A$5:$A$204,Fixtures!$E$5:$E$204,""),"")</x:f>
      </x:c>
      <x:c r="G177" s="38" t="str">
        <x:f>IFERROR(XLOOKUP(D177,Fixtures!$A$5:$A$204,Fixtures!$G$5:$G$204,""),"")</x:f>
      </x:c>
      <x:c r="H177" s="38"/>
      <x:c r="I177" s="38"/>
      <x:c r="J177" s="38"/>
      <x:c r="K177" s="38"/>
      <x:c r="L177" s="60"/>
      <x:c r="M177" s="38"/>
      <x:c r="N177" s="38"/>
      <x:c r="O177" s="38"/>
      <x:c r="P177" s="38"/>
      <x:c r="Q177" s="38"/>
      <x:c r="R177" s="38"/>
      <x:c r="S177" s="38" t="str">
        <x:f>IF(R177="Approved Current","Yes","No")</x:f>
        <x:v>No</x:v>
      </x:c>
      <x:c r="T177" s="38"/>
      <x:c r="U177" s="38"/>
      <x:c r="V177" s="38"/>
      <x:c r="W177" s="38"/>
      <x:c r="X177" s="38" t="str">
        <x:f>IF(D177="","",IF(V177&lt;&gt;"",V177,IF(J177="Walkover",IF(K177=XLOOKUP(D177,Fixtures!$A$5:$A$204,Fixtures!$D$5:$D$204,""),Rules!$C$12,IF(K177=XLOOKUP(D177,Fixtures!$A$5:$A$204,Fixtures!$F$5:$F$204,""),Rules!$C$13,"")),H177)))</x:f>
      </x:c>
      <x:c r="Y177" s="38" t="str">
        <x:f>IF(D177="","",IF(W177&lt;&gt;"",W177,IF(J177="Walkover",IF(K177=XLOOKUP(D177,Fixtures!$A$5:$A$204,Fixtures!$F$5:$F$204,""),Rules!$C$12,IF(K177=XLOOKUP(D177,Fixtures!$A$5:$A$204,Fixtures!$D$5:$D$204,""),Rules!$C$13,"")),I177)))</x:f>
      </x:c>
      <x:c r="Z177" s="38" t="str">
        <x:f>IF(D177="","",IF(AND(R177="Approved Current",OR(J177="Played",J177="Walkover")),"Yes","No"))</x:f>
      </x:c>
      <x:c r="AA177" s="38" t="str">
        <x:f>IF(D177="","",IF(AND(R177="Approved Current",COUNTIFS($D$5:$D$204,D177,$R$5:$R$204,"Approved Current")&gt;1),"Multiple Approved Current",IF(AND(J177="Walkover",K177=""),"Walkover missing winner","OK")))</x:f>
      </x:c>
    </x:row>
    <x:row r="178" ht="15" hidden="0" customHeight="1">
      <x:c r="A178" s="67"/>
      <x:c r="B178" s="38"/>
      <x:c r="C178" s="38"/>
      <x:c r="D178" s="38"/>
      <x:c r="E178" s="38" t="str">
        <x:f>IFERROR(XLOOKUP(D178,Fixtures!$A$5:$A$204,Fixtures!$M$5:$M$204,""),"")</x:f>
      </x:c>
      <x:c r="F178" s="38" t="str">
        <x:f>IFERROR(XLOOKUP(D178,Fixtures!$A$5:$A$204,Fixtures!$E$5:$E$204,""),"")</x:f>
      </x:c>
      <x:c r="G178" s="38" t="str">
        <x:f>IFERROR(XLOOKUP(D178,Fixtures!$A$5:$A$204,Fixtures!$G$5:$G$204,""),"")</x:f>
      </x:c>
      <x:c r="H178" s="38"/>
      <x:c r="I178" s="38"/>
      <x:c r="J178" s="38"/>
      <x:c r="K178" s="38"/>
      <x:c r="L178" s="60"/>
      <x:c r="M178" s="38"/>
      <x:c r="N178" s="38"/>
      <x:c r="O178" s="38"/>
      <x:c r="P178" s="38"/>
      <x:c r="Q178" s="38"/>
      <x:c r="R178" s="38"/>
      <x:c r="S178" s="38" t="str">
        <x:f>IF(R178="Approved Current","Yes","No")</x:f>
        <x:v>No</x:v>
      </x:c>
      <x:c r="T178" s="38"/>
      <x:c r="U178" s="38"/>
      <x:c r="V178" s="38"/>
      <x:c r="W178" s="38"/>
      <x:c r="X178" s="38" t="str">
        <x:f>IF(D178="","",IF(V178&lt;&gt;"",V178,IF(J178="Walkover",IF(K178=XLOOKUP(D178,Fixtures!$A$5:$A$204,Fixtures!$D$5:$D$204,""),Rules!$C$12,IF(K178=XLOOKUP(D178,Fixtures!$A$5:$A$204,Fixtures!$F$5:$F$204,""),Rules!$C$13,"")),H178)))</x:f>
      </x:c>
      <x:c r="Y178" s="38" t="str">
        <x:f>IF(D178="","",IF(W178&lt;&gt;"",W178,IF(J178="Walkover",IF(K178=XLOOKUP(D178,Fixtures!$A$5:$A$204,Fixtures!$F$5:$F$204,""),Rules!$C$12,IF(K178=XLOOKUP(D178,Fixtures!$A$5:$A$204,Fixtures!$D$5:$D$204,""),Rules!$C$13,"")),I178)))</x:f>
      </x:c>
      <x:c r="Z178" s="38" t="str">
        <x:f>IF(D178="","",IF(AND(R178="Approved Current",OR(J178="Played",J178="Walkover")),"Yes","No"))</x:f>
      </x:c>
      <x:c r="AA178" s="38" t="str">
        <x:f>IF(D178="","",IF(AND(R178="Approved Current",COUNTIFS($D$5:$D$204,D178,$R$5:$R$204,"Approved Current")&gt;1),"Multiple Approved Current",IF(AND(J178="Walkover",K178=""),"Walkover missing winner","OK")))</x:f>
      </x:c>
    </x:row>
    <x:row r="179" ht="15" hidden="0" customHeight="1">
      <x:c r="A179" s="67"/>
      <x:c r="B179" s="38"/>
      <x:c r="C179" s="38"/>
      <x:c r="D179" s="38"/>
      <x:c r="E179" s="38" t="str">
        <x:f>IFERROR(XLOOKUP(D179,Fixtures!$A$5:$A$204,Fixtures!$M$5:$M$204,""),"")</x:f>
      </x:c>
      <x:c r="F179" s="38" t="str">
        <x:f>IFERROR(XLOOKUP(D179,Fixtures!$A$5:$A$204,Fixtures!$E$5:$E$204,""),"")</x:f>
      </x:c>
      <x:c r="G179" s="38" t="str">
        <x:f>IFERROR(XLOOKUP(D179,Fixtures!$A$5:$A$204,Fixtures!$G$5:$G$204,""),"")</x:f>
      </x:c>
      <x:c r="H179" s="38"/>
      <x:c r="I179" s="38"/>
      <x:c r="J179" s="38"/>
      <x:c r="K179" s="38"/>
      <x:c r="L179" s="60"/>
      <x:c r="M179" s="38"/>
      <x:c r="N179" s="38"/>
      <x:c r="O179" s="38"/>
      <x:c r="P179" s="38"/>
      <x:c r="Q179" s="38"/>
      <x:c r="R179" s="38"/>
      <x:c r="S179" s="38" t="str">
        <x:f>IF(R179="Approved Current","Yes","No")</x:f>
        <x:v>No</x:v>
      </x:c>
      <x:c r="T179" s="38"/>
      <x:c r="U179" s="38"/>
      <x:c r="V179" s="38"/>
      <x:c r="W179" s="38"/>
      <x:c r="X179" s="38" t="str">
        <x:f>IF(D179="","",IF(V179&lt;&gt;"",V179,IF(J179="Walkover",IF(K179=XLOOKUP(D179,Fixtures!$A$5:$A$204,Fixtures!$D$5:$D$204,""),Rules!$C$12,IF(K179=XLOOKUP(D179,Fixtures!$A$5:$A$204,Fixtures!$F$5:$F$204,""),Rules!$C$13,"")),H179)))</x:f>
      </x:c>
      <x:c r="Y179" s="38" t="str">
        <x:f>IF(D179="","",IF(W179&lt;&gt;"",W179,IF(J179="Walkover",IF(K179=XLOOKUP(D179,Fixtures!$A$5:$A$204,Fixtures!$F$5:$F$204,""),Rules!$C$12,IF(K179=XLOOKUP(D179,Fixtures!$A$5:$A$204,Fixtures!$D$5:$D$204,""),Rules!$C$13,"")),I179)))</x:f>
      </x:c>
      <x:c r="Z179" s="38" t="str">
        <x:f>IF(D179="","",IF(AND(R179="Approved Current",OR(J179="Played",J179="Walkover")),"Yes","No"))</x:f>
      </x:c>
      <x:c r="AA179" s="38" t="str">
        <x:f>IF(D179="","",IF(AND(R179="Approved Current",COUNTIFS($D$5:$D$204,D179,$R$5:$R$204,"Approved Current")&gt;1),"Multiple Approved Current",IF(AND(J179="Walkover",K179=""),"Walkover missing winner","OK")))</x:f>
      </x:c>
    </x:row>
    <x:row r="180" ht="15" hidden="0" customHeight="1">
      <x:c r="A180" s="67"/>
      <x:c r="B180" s="38"/>
      <x:c r="C180" s="38"/>
      <x:c r="D180" s="38"/>
      <x:c r="E180" s="38" t="str">
        <x:f>IFERROR(XLOOKUP(D180,Fixtures!$A$5:$A$204,Fixtures!$M$5:$M$204,""),"")</x:f>
      </x:c>
      <x:c r="F180" s="38" t="str">
        <x:f>IFERROR(XLOOKUP(D180,Fixtures!$A$5:$A$204,Fixtures!$E$5:$E$204,""),"")</x:f>
      </x:c>
      <x:c r="G180" s="38" t="str">
        <x:f>IFERROR(XLOOKUP(D180,Fixtures!$A$5:$A$204,Fixtures!$G$5:$G$204,""),"")</x:f>
      </x:c>
      <x:c r="H180" s="38"/>
      <x:c r="I180" s="38"/>
      <x:c r="J180" s="38"/>
      <x:c r="K180" s="38"/>
      <x:c r="L180" s="60"/>
      <x:c r="M180" s="38"/>
      <x:c r="N180" s="38"/>
      <x:c r="O180" s="38"/>
      <x:c r="P180" s="38"/>
      <x:c r="Q180" s="38"/>
      <x:c r="R180" s="38"/>
      <x:c r="S180" s="38" t="str">
        <x:f>IF(R180="Approved Current","Yes","No")</x:f>
        <x:v>No</x:v>
      </x:c>
      <x:c r="T180" s="38"/>
      <x:c r="U180" s="38"/>
      <x:c r="V180" s="38"/>
      <x:c r="W180" s="38"/>
      <x:c r="X180" s="38" t="str">
        <x:f>IF(D180="","",IF(V180&lt;&gt;"",V180,IF(J180="Walkover",IF(K180=XLOOKUP(D180,Fixtures!$A$5:$A$204,Fixtures!$D$5:$D$204,""),Rules!$C$12,IF(K180=XLOOKUP(D180,Fixtures!$A$5:$A$204,Fixtures!$F$5:$F$204,""),Rules!$C$13,"")),H180)))</x:f>
      </x:c>
      <x:c r="Y180" s="38" t="str">
        <x:f>IF(D180="","",IF(W180&lt;&gt;"",W180,IF(J180="Walkover",IF(K180=XLOOKUP(D180,Fixtures!$A$5:$A$204,Fixtures!$F$5:$F$204,""),Rules!$C$12,IF(K180=XLOOKUP(D180,Fixtures!$A$5:$A$204,Fixtures!$D$5:$D$204,""),Rules!$C$13,"")),I180)))</x:f>
      </x:c>
      <x:c r="Z180" s="38" t="str">
        <x:f>IF(D180="","",IF(AND(R180="Approved Current",OR(J180="Played",J180="Walkover")),"Yes","No"))</x:f>
      </x:c>
      <x:c r="AA180" s="38" t="str">
        <x:f>IF(D180="","",IF(AND(R180="Approved Current",COUNTIFS($D$5:$D$204,D180,$R$5:$R$204,"Approved Current")&gt;1),"Multiple Approved Current",IF(AND(J180="Walkover",K180=""),"Walkover missing winner","OK")))</x:f>
      </x:c>
    </x:row>
    <x:row r="181" ht="15" hidden="0" customHeight="1">
      <x:c r="A181" s="67"/>
      <x:c r="B181" s="38"/>
      <x:c r="C181" s="38"/>
      <x:c r="D181" s="38"/>
      <x:c r="E181" s="38" t="str">
        <x:f>IFERROR(XLOOKUP(D181,Fixtures!$A$5:$A$204,Fixtures!$M$5:$M$204,""),"")</x:f>
      </x:c>
      <x:c r="F181" s="38" t="str">
        <x:f>IFERROR(XLOOKUP(D181,Fixtures!$A$5:$A$204,Fixtures!$E$5:$E$204,""),"")</x:f>
      </x:c>
      <x:c r="G181" s="38" t="str">
        <x:f>IFERROR(XLOOKUP(D181,Fixtures!$A$5:$A$204,Fixtures!$G$5:$G$204,""),"")</x:f>
      </x:c>
      <x:c r="H181" s="38"/>
      <x:c r="I181" s="38"/>
      <x:c r="J181" s="38"/>
      <x:c r="K181" s="38"/>
      <x:c r="L181" s="60"/>
      <x:c r="M181" s="38"/>
      <x:c r="N181" s="38"/>
      <x:c r="O181" s="38"/>
      <x:c r="P181" s="38"/>
      <x:c r="Q181" s="38"/>
      <x:c r="R181" s="38"/>
      <x:c r="S181" s="38" t="str">
        <x:f>IF(R181="Approved Current","Yes","No")</x:f>
        <x:v>No</x:v>
      </x:c>
      <x:c r="T181" s="38"/>
      <x:c r="U181" s="38"/>
      <x:c r="V181" s="38"/>
      <x:c r="W181" s="38"/>
      <x:c r="X181" s="38" t="str">
        <x:f>IF(D181="","",IF(V181&lt;&gt;"",V181,IF(J181="Walkover",IF(K181=XLOOKUP(D181,Fixtures!$A$5:$A$204,Fixtures!$D$5:$D$204,""),Rules!$C$12,IF(K181=XLOOKUP(D181,Fixtures!$A$5:$A$204,Fixtures!$F$5:$F$204,""),Rules!$C$13,"")),H181)))</x:f>
      </x:c>
      <x:c r="Y181" s="38" t="str">
        <x:f>IF(D181="","",IF(W181&lt;&gt;"",W181,IF(J181="Walkover",IF(K181=XLOOKUP(D181,Fixtures!$A$5:$A$204,Fixtures!$F$5:$F$204,""),Rules!$C$12,IF(K181=XLOOKUP(D181,Fixtures!$A$5:$A$204,Fixtures!$D$5:$D$204,""),Rules!$C$13,"")),I181)))</x:f>
      </x:c>
      <x:c r="Z181" s="38" t="str">
        <x:f>IF(D181="","",IF(AND(R181="Approved Current",OR(J181="Played",J181="Walkover")),"Yes","No"))</x:f>
      </x:c>
      <x:c r="AA181" s="38" t="str">
        <x:f>IF(D181="","",IF(AND(R181="Approved Current",COUNTIFS($D$5:$D$204,D181,$R$5:$R$204,"Approved Current")&gt;1),"Multiple Approved Current",IF(AND(J181="Walkover",K181=""),"Walkover missing winner","OK")))</x:f>
      </x:c>
    </x:row>
    <x:row r="182" ht="15" hidden="0" customHeight="1">
      <x:c r="A182" s="67"/>
      <x:c r="B182" s="38"/>
      <x:c r="C182" s="38"/>
      <x:c r="D182" s="38"/>
      <x:c r="E182" s="38" t="str">
        <x:f>IFERROR(XLOOKUP(D182,Fixtures!$A$5:$A$204,Fixtures!$M$5:$M$204,""),"")</x:f>
      </x:c>
      <x:c r="F182" s="38" t="str">
        <x:f>IFERROR(XLOOKUP(D182,Fixtures!$A$5:$A$204,Fixtures!$E$5:$E$204,""),"")</x:f>
      </x:c>
      <x:c r="G182" s="38" t="str">
        <x:f>IFERROR(XLOOKUP(D182,Fixtures!$A$5:$A$204,Fixtures!$G$5:$G$204,""),"")</x:f>
      </x:c>
      <x:c r="H182" s="38"/>
      <x:c r="I182" s="38"/>
      <x:c r="J182" s="38"/>
      <x:c r="K182" s="38"/>
      <x:c r="L182" s="60"/>
      <x:c r="M182" s="38"/>
      <x:c r="N182" s="38"/>
      <x:c r="O182" s="38"/>
      <x:c r="P182" s="38"/>
      <x:c r="Q182" s="38"/>
      <x:c r="R182" s="38"/>
      <x:c r="S182" s="38" t="str">
        <x:f>IF(R182="Approved Current","Yes","No")</x:f>
        <x:v>No</x:v>
      </x:c>
      <x:c r="T182" s="38"/>
      <x:c r="U182" s="38"/>
      <x:c r="V182" s="38"/>
      <x:c r="W182" s="38"/>
      <x:c r="X182" s="38" t="str">
        <x:f>IF(D182="","",IF(V182&lt;&gt;"",V182,IF(J182="Walkover",IF(K182=XLOOKUP(D182,Fixtures!$A$5:$A$204,Fixtures!$D$5:$D$204,""),Rules!$C$12,IF(K182=XLOOKUP(D182,Fixtures!$A$5:$A$204,Fixtures!$F$5:$F$204,""),Rules!$C$13,"")),H182)))</x:f>
      </x:c>
      <x:c r="Y182" s="38" t="str">
        <x:f>IF(D182="","",IF(W182&lt;&gt;"",W182,IF(J182="Walkover",IF(K182=XLOOKUP(D182,Fixtures!$A$5:$A$204,Fixtures!$F$5:$F$204,""),Rules!$C$12,IF(K182=XLOOKUP(D182,Fixtures!$A$5:$A$204,Fixtures!$D$5:$D$204,""),Rules!$C$13,"")),I182)))</x:f>
      </x:c>
      <x:c r="Z182" s="38" t="str">
        <x:f>IF(D182="","",IF(AND(R182="Approved Current",OR(J182="Played",J182="Walkover")),"Yes","No"))</x:f>
      </x:c>
      <x:c r="AA182" s="38" t="str">
        <x:f>IF(D182="","",IF(AND(R182="Approved Current",COUNTIFS($D$5:$D$204,D182,$R$5:$R$204,"Approved Current")&gt;1),"Multiple Approved Current",IF(AND(J182="Walkover",K182=""),"Walkover missing winner","OK")))</x:f>
      </x:c>
    </x:row>
    <x:row r="183" ht="15" hidden="0" customHeight="1">
      <x:c r="A183" s="67"/>
      <x:c r="B183" s="38"/>
      <x:c r="C183" s="38"/>
      <x:c r="D183" s="38"/>
      <x:c r="E183" s="38" t="str">
        <x:f>IFERROR(XLOOKUP(D183,Fixtures!$A$5:$A$204,Fixtures!$M$5:$M$204,""),"")</x:f>
      </x:c>
      <x:c r="F183" s="38" t="str">
        <x:f>IFERROR(XLOOKUP(D183,Fixtures!$A$5:$A$204,Fixtures!$E$5:$E$204,""),"")</x:f>
      </x:c>
      <x:c r="G183" s="38" t="str">
        <x:f>IFERROR(XLOOKUP(D183,Fixtures!$A$5:$A$204,Fixtures!$G$5:$G$204,""),"")</x:f>
      </x:c>
      <x:c r="H183" s="38"/>
      <x:c r="I183" s="38"/>
      <x:c r="J183" s="38"/>
      <x:c r="K183" s="38"/>
      <x:c r="L183" s="60"/>
      <x:c r="M183" s="38"/>
      <x:c r="N183" s="38"/>
      <x:c r="O183" s="38"/>
      <x:c r="P183" s="38"/>
      <x:c r="Q183" s="38"/>
      <x:c r="R183" s="38"/>
      <x:c r="S183" s="38" t="str">
        <x:f>IF(R183="Approved Current","Yes","No")</x:f>
        <x:v>No</x:v>
      </x:c>
      <x:c r="T183" s="38"/>
      <x:c r="U183" s="38"/>
      <x:c r="V183" s="38"/>
      <x:c r="W183" s="38"/>
      <x:c r="X183" s="38" t="str">
        <x:f>IF(D183="","",IF(V183&lt;&gt;"",V183,IF(J183="Walkover",IF(K183=XLOOKUP(D183,Fixtures!$A$5:$A$204,Fixtures!$D$5:$D$204,""),Rules!$C$12,IF(K183=XLOOKUP(D183,Fixtures!$A$5:$A$204,Fixtures!$F$5:$F$204,""),Rules!$C$13,"")),H183)))</x:f>
      </x:c>
      <x:c r="Y183" s="38" t="str">
        <x:f>IF(D183="","",IF(W183&lt;&gt;"",W183,IF(J183="Walkover",IF(K183=XLOOKUP(D183,Fixtures!$A$5:$A$204,Fixtures!$F$5:$F$204,""),Rules!$C$12,IF(K183=XLOOKUP(D183,Fixtures!$A$5:$A$204,Fixtures!$D$5:$D$204,""),Rules!$C$13,"")),I183)))</x:f>
      </x:c>
      <x:c r="Z183" s="38" t="str">
        <x:f>IF(D183="","",IF(AND(R183="Approved Current",OR(J183="Played",J183="Walkover")),"Yes","No"))</x:f>
      </x:c>
      <x:c r="AA183" s="38" t="str">
        <x:f>IF(D183="","",IF(AND(R183="Approved Current",COUNTIFS($D$5:$D$204,D183,$R$5:$R$204,"Approved Current")&gt;1),"Multiple Approved Current",IF(AND(J183="Walkover",K183=""),"Walkover missing winner","OK")))</x:f>
      </x:c>
    </x:row>
    <x:row r="184" ht="15" hidden="0" customHeight="1">
      <x:c r="A184" s="67"/>
      <x:c r="B184" s="38"/>
      <x:c r="C184" s="38"/>
      <x:c r="D184" s="38"/>
      <x:c r="E184" s="38" t="str">
        <x:f>IFERROR(XLOOKUP(D184,Fixtures!$A$5:$A$204,Fixtures!$M$5:$M$204,""),"")</x:f>
      </x:c>
      <x:c r="F184" s="38" t="str">
        <x:f>IFERROR(XLOOKUP(D184,Fixtures!$A$5:$A$204,Fixtures!$E$5:$E$204,""),"")</x:f>
      </x:c>
      <x:c r="G184" s="38" t="str">
        <x:f>IFERROR(XLOOKUP(D184,Fixtures!$A$5:$A$204,Fixtures!$G$5:$G$204,""),"")</x:f>
      </x:c>
      <x:c r="H184" s="38"/>
      <x:c r="I184" s="38"/>
      <x:c r="J184" s="38"/>
      <x:c r="K184" s="38"/>
      <x:c r="L184" s="60"/>
      <x:c r="M184" s="38"/>
      <x:c r="N184" s="38"/>
      <x:c r="O184" s="38"/>
      <x:c r="P184" s="38"/>
      <x:c r="Q184" s="38"/>
      <x:c r="R184" s="38"/>
      <x:c r="S184" s="38" t="str">
        <x:f>IF(R184="Approved Current","Yes","No")</x:f>
        <x:v>No</x:v>
      </x:c>
      <x:c r="T184" s="38"/>
      <x:c r="U184" s="38"/>
      <x:c r="V184" s="38"/>
      <x:c r="W184" s="38"/>
      <x:c r="X184" s="38" t="str">
        <x:f>IF(D184="","",IF(V184&lt;&gt;"",V184,IF(J184="Walkover",IF(K184=XLOOKUP(D184,Fixtures!$A$5:$A$204,Fixtures!$D$5:$D$204,""),Rules!$C$12,IF(K184=XLOOKUP(D184,Fixtures!$A$5:$A$204,Fixtures!$F$5:$F$204,""),Rules!$C$13,"")),H184)))</x:f>
      </x:c>
      <x:c r="Y184" s="38" t="str">
        <x:f>IF(D184="","",IF(W184&lt;&gt;"",W184,IF(J184="Walkover",IF(K184=XLOOKUP(D184,Fixtures!$A$5:$A$204,Fixtures!$F$5:$F$204,""),Rules!$C$12,IF(K184=XLOOKUP(D184,Fixtures!$A$5:$A$204,Fixtures!$D$5:$D$204,""),Rules!$C$13,"")),I184)))</x:f>
      </x:c>
      <x:c r="Z184" s="38" t="str">
        <x:f>IF(D184="","",IF(AND(R184="Approved Current",OR(J184="Played",J184="Walkover")),"Yes","No"))</x:f>
      </x:c>
      <x:c r="AA184" s="38" t="str">
        <x:f>IF(D184="","",IF(AND(R184="Approved Current",COUNTIFS($D$5:$D$204,D184,$R$5:$R$204,"Approved Current")&gt;1),"Multiple Approved Current",IF(AND(J184="Walkover",K184=""),"Walkover missing winner","OK")))</x:f>
      </x:c>
    </x:row>
    <x:row r="185" ht="15" hidden="0" customHeight="1">
      <x:c r="A185" s="67"/>
      <x:c r="B185" s="38"/>
      <x:c r="C185" s="38"/>
      <x:c r="D185" s="38"/>
      <x:c r="E185" s="38" t="str">
        <x:f>IFERROR(XLOOKUP(D185,Fixtures!$A$5:$A$204,Fixtures!$M$5:$M$204,""),"")</x:f>
      </x:c>
      <x:c r="F185" s="38" t="str">
        <x:f>IFERROR(XLOOKUP(D185,Fixtures!$A$5:$A$204,Fixtures!$E$5:$E$204,""),"")</x:f>
      </x:c>
      <x:c r="G185" s="38" t="str">
        <x:f>IFERROR(XLOOKUP(D185,Fixtures!$A$5:$A$204,Fixtures!$G$5:$G$204,""),"")</x:f>
      </x:c>
      <x:c r="H185" s="38"/>
      <x:c r="I185" s="38"/>
      <x:c r="J185" s="38"/>
      <x:c r="K185" s="38"/>
      <x:c r="L185" s="60"/>
      <x:c r="M185" s="38"/>
      <x:c r="N185" s="38"/>
      <x:c r="O185" s="38"/>
      <x:c r="P185" s="38"/>
      <x:c r="Q185" s="38"/>
      <x:c r="R185" s="38"/>
      <x:c r="S185" s="38" t="str">
        <x:f>IF(R185="Approved Current","Yes","No")</x:f>
        <x:v>No</x:v>
      </x:c>
      <x:c r="T185" s="38"/>
      <x:c r="U185" s="38"/>
      <x:c r="V185" s="38"/>
      <x:c r="W185" s="38"/>
      <x:c r="X185" s="38" t="str">
        <x:f>IF(D185="","",IF(V185&lt;&gt;"",V185,IF(J185="Walkover",IF(K185=XLOOKUP(D185,Fixtures!$A$5:$A$204,Fixtures!$D$5:$D$204,""),Rules!$C$12,IF(K185=XLOOKUP(D185,Fixtures!$A$5:$A$204,Fixtures!$F$5:$F$204,""),Rules!$C$13,"")),H185)))</x:f>
      </x:c>
      <x:c r="Y185" s="38" t="str">
        <x:f>IF(D185="","",IF(W185&lt;&gt;"",W185,IF(J185="Walkover",IF(K185=XLOOKUP(D185,Fixtures!$A$5:$A$204,Fixtures!$F$5:$F$204,""),Rules!$C$12,IF(K185=XLOOKUP(D185,Fixtures!$A$5:$A$204,Fixtures!$D$5:$D$204,""),Rules!$C$13,"")),I185)))</x:f>
      </x:c>
      <x:c r="Z185" s="38" t="str">
        <x:f>IF(D185="","",IF(AND(R185="Approved Current",OR(J185="Played",J185="Walkover")),"Yes","No"))</x:f>
      </x:c>
      <x:c r="AA185" s="38" t="str">
        <x:f>IF(D185="","",IF(AND(R185="Approved Current",COUNTIFS($D$5:$D$204,D185,$R$5:$R$204,"Approved Current")&gt;1),"Multiple Approved Current",IF(AND(J185="Walkover",K185=""),"Walkover missing winner","OK")))</x:f>
      </x:c>
    </x:row>
    <x:row r="186" ht="15" hidden="0" customHeight="1">
      <x:c r="A186" s="67"/>
      <x:c r="B186" s="38"/>
      <x:c r="C186" s="38"/>
      <x:c r="D186" s="38"/>
      <x:c r="E186" s="38" t="str">
        <x:f>IFERROR(XLOOKUP(D186,Fixtures!$A$5:$A$204,Fixtures!$M$5:$M$204,""),"")</x:f>
      </x:c>
      <x:c r="F186" s="38" t="str">
        <x:f>IFERROR(XLOOKUP(D186,Fixtures!$A$5:$A$204,Fixtures!$E$5:$E$204,""),"")</x:f>
      </x:c>
      <x:c r="G186" s="38" t="str">
        <x:f>IFERROR(XLOOKUP(D186,Fixtures!$A$5:$A$204,Fixtures!$G$5:$G$204,""),"")</x:f>
      </x:c>
      <x:c r="H186" s="38"/>
      <x:c r="I186" s="38"/>
      <x:c r="J186" s="38"/>
      <x:c r="K186" s="38"/>
      <x:c r="L186" s="60"/>
      <x:c r="M186" s="38"/>
      <x:c r="N186" s="38"/>
      <x:c r="O186" s="38"/>
      <x:c r="P186" s="38"/>
      <x:c r="Q186" s="38"/>
      <x:c r="R186" s="38"/>
      <x:c r="S186" s="38" t="str">
        <x:f>IF(R186="Approved Current","Yes","No")</x:f>
        <x:v>No</x:v>
      </x:c>
      <x:c r="T186" s="38"/>
      <x:c r="U186" s="38"/>
      <x:c r="V186" s="38"/>
      <x:c r="W186" s="38"/>
      <x:c r="X186" s="38" t="str">
        <x:f>IF(D186="","",IF(V186&lt;&gt;"",V186,IF(J186="Walkover",IF(K186=XLOOKUP(D186,Fixtures!$A$5:$A$204,Fixtures!$D$5:$D$204,""),Rules!$C$12,IF(K186=XLOOKUP(D186,Fixtures!$A$5:$A$204,Fixtures!$F$5:$F$204,""),Rules!$C$13,"")),H186)))</x:f>
      </x:c>
      <x:c r="Y186" s="38" t="str">
        <x:f>IF(D186="","",IF(W186&lt;&gt;"",W186,IF(J186="Walkover",IF(K186=XLOOKUP(D186,Fixtures!$A$5:$A$204,Fixtures!$F$5:$F$204,""),Rules!$C$12,IF(K186=XLOOKUP(D186,Fixtures!$A$5:$A$204,Fixtures!$D$5:$D$204,""),Rules!$C$13,"")),I186)))</x:f>
      </x:c>
      <x:c r="Z186" s="38" t="str">
        <x:f>IF(D186="","",IF(AND(R186="Approved Current",OR(J186="Played",J186="Walkover")),"Yes","No"))</x:f>
      </x:c>
      <x:c r="AA186" s="38" t="str">
        <x:f>IF(D186="","",IF(AND(R186="Approved Current",COUNTIFS($D$5:$D$204,D186,$R$5:$R$204,"Approved Current")&gt;1),"Multiple Approved Current",IF(AND(J186="Walkover",K186=""),"Walkover missing winner","OK")))</x:f>
      </x:c>
    </x:row>
    <x:row r="187" ht="15" hidden="0" customHeight="1">
      <x:c r="A187" s="67"/>
      <x:c r="B187" s="38"/>
      <x:c r="C187" s="38"/>
      <x:c r="D187" s="38"/>
      <x:c r="E187" s="38" t="str">
        <x:f>IFERROR(XLOOKUP(D187,Fixtures!$A$5:$A$204,Fixtures!$M$5:$M$204,""),"")</x:f>
      </x:c>
      <x:c r="F187" s="38" t="str">
        <x:f>IFERROR(XLOOKUP(D187,Fixtures!$A$5:$A$204,Fixtures!$E$5:$E$204,""),"")</x:f>
      </x:c>
      <x:c r="G187" s="38" t="str">
        <x:f>IFERROR(XLOOKUP(D187,Fixtures!$A$5:$A$204,Fixtures!$G$5:$G$204,""),"")</x:f>
      </x:c>
      <x:c r="H187" s="38"/>
      <x:c r="I187" s="38"/>
      <x:c r="J187" s="38"/>
      <x:c r="K187" s="38"/>
      <x:c r="L187" s="60"/>
      <x:c r="M187" s="38"/>
      <x:c r="N187" s="38"/>
      <x:c r="O187" s="38"/>
      <x:c r="P187" s="38"/>
      <x:c r="Q187" s="38"/>
      <x:c r="R187" s="38"/>
      <x:c r="S187" s="38" t="str">
        <x:f>IF(R187="Approved Current","Yes","No")</x:f>
        <x:v>No</x:v>
      </x:c>
      <x:c r="T187" s="38"/>
      <x:c r="U187" s="38"/>
      <x:c r="V187" s="38"/>
      <x:c r="W187" s="38"/>
      <x:c r="X187" s="38" t="str">
        <x:f>IF(D187="","",IF(V187&lt;&gt;"",V187,IF(J187="Walkover",IF(K187=XLOOKUP(D187,Fixtures!$A$5:$A$204,Fixtures!$D$5:$D$204,""),Rules!$C$12,IF(K187=XLOOKUP(D187,Fixtures!$A$5:$A$204,Fixtures!$F$5:$F$204,""),Rules!$C$13,"")),H187)))</x:f>
      </x:c>
      <x:c r="Y187" s="38" t="str">
        <x:f>IF(D187="","",IF(W187&lt;&gt;"",W187,IF(J187="Walkover",IF(K187=XLOOKUP(D187,Fixtures!$A$5:$A$204,Fixtures!$F$5:$F$204,""),Rules!$C$12,IF(K187=XLOOKUP(D187,Fixtures!$A$5:$A$204,Fixtures!$D$5:$D$204,""),Rules!$C$13,"")),I187)))</x:f>
      </x:c>
      <x:c r="Z187" s="38" t="str">
        <x:f>IF(D187="","",IF(AND(R187="Approved Current",OR(J187="Played",J187="Walkover")),"Yes","No"))</x:f>
      </x:c>
      <x:c r="AA187" s="38" t="str">
        <x:f>IF(D187="","",IF(AND(R187="Approved Current",COUNTIFS($D$5:$D$204,D187,$R$5:$R$204,"Approved Current")&gt;1),"Multiple Approved Current",IF(AND(J187="Walkover",K187=""),"Walkover missing winner","OK")))</x:f>
      </x:c>
    </x:row>
    <x:row r="188" ht="15" hidden="0" customHeight="1">
      <x:c r="A188" s="67"/>
      <x:c r="B188" s="38"/>
      <x:c r="C188" s="38"/>
      <x:c r="D188" s="38"/>
      <x:c r="E188" s="38" t="str">
        <x:f>IFERROR(XLOOKUP(D188,Fixtures!$A$5:$A$204,Fixtures!$M$5:$M$204,""),"")</x:f>
      </x:c>
      <x:c r="F188" s="38" t="str">
        <x:f>IFERROR(XLOOKUP(D188,Fixtures!$A$5:$A$204,Fixtures!$E$5:$E$204,""),"")</x:f>
      </x:c>
      <x:c r="G188" s="38" t="str">
        <x:f>IFERROR(XLOOKUP(D188,Fixtures!$A$5:$A$204,Fixtures!$G$5:$G$204,""),"")</x:f>
      </x:c>
      <x:c r="H188" s="38"/>
      <x:c r="I188" s="38"/>
      <x:c r="J188" s="38"/>
      <x:c r="K188" s="38"/>
      <x:c r="L188" s="60"/>
      <x:c r="M188" s="38"/>
      <x:c r="N188" s="38"/>
      <x:c r="O188" s="38"/>
      <x:c r="P188" s="38"/>
      <x:c r="Q188" s="38"/>
      <x:c r="R188" s="38"/>
      <x:c r="S188" s="38" t="str">
        <x:f>IF(R188="Approved Current","Yes","No")</x:f>
        <x:v>No</x:v>
      </x:c>
      <x:c r="T188" s="38"/>
      <x:c r="U188" s="38"/>
      <x:c r="V188" s="38"/>
      <x:c r="W188" s="38"/>
      <x:c r="X188" s="38" t="str">
        <x:f>IF(D188="","",IF(V188&lt;&gt;"",V188,IF(J188="Walkover",IF(K188=XLOOKUP(D188,Fixtures!$A$5:$A$204,Fixtures!$D$5:$D$204,""),Rules!$C$12,IF(K188=XLOOKUP(D188,Fixtures!$A$5:$A$204,Fixtures!$F$5:$F$204,""),Rules!$C$13,"")),H188)))</x:f>
      </x:c>
      <x:c r="Y188" s="38" t="str">
        <x:f>IF(D188="","",IF(W188&lt;&gt;"",W188,IF(J188="Walkover",IF(K188=XLOOKUP(D188,Fixtures!$A$5:$A$204,Fixtures!$F$5:$F$204,""),Rules!$C$12,IF(K188=XLOOKUP(D188,Fixtures!$A$5:$A$204,Fixtures!$D$5:$D$204,""),Rules!$C$13,"")),I188)))</x:f>
      </x:c>
      <x:c r="Z188" s="38" t="str">
        <x:f>IF(D188="","",IF(AND(R188="Approved Current",OR(J188="Played",J188="Walkover")),"Yes","No"))</x:f>
      </x:c>
      <x:c r="AA188" s="38" t="str">
        <x:f>IF(D188="","",IF(AND(R188="Approved Current",COUNTIFS($D$5:$D$204,D188,$R$5:$R$204,"Approved Current")&gt;1),"Multiple Approved Current",IF(AND(J188="Walkover",K188=""),"Walkover missing winner","OK")))</x:f>
      </x:c>
    </x:row>
    <x:row r="189" ht="15" hidden="0" customHeight="1">
      <x:c r="A189" s="67"/>
      <x:c r="B189" s="38"/>
      <x:c r="C189" s="38"/>
      <x:c r="D189" s="38"/>
      <x:c r="E189" s="38" t="str">
        <x:f>IFERROR(XLOOKUP(D189,Fixtures!$A$5:$A$204,Fixtures!$M$5:$M$204,""),"")</x:f>
      </x:c>
      <x:c r="F189" s="38" t="str">
        <x:f>IFERROR(XLOOKUP(D189,Fixtures!$A$5:$A$204,Fixtures!$E$5:$E$204,""),"")</x:f>
      </x:c>
      <x:c r="G189" s="38" t="str">
        <x:f>IFERROR(XLOOKUP(D189,Fixtures!$A$5:$A$204,Fixtures!$G$5:$G$204,""),"")</x:f>
      </x:c>
      <x:c r="H189" s="38"/>
      <x:c r="I189" s="38"/>
      <x:c r="J189" s="38"/>
      <x:c r="K189" s="38"/>
      <x:c r="L189" s="60"/>
      <x:c r="M189" s="38"/>
      <x:c r="N189" s="38"/>
      <x:c r="O189" s="38"/>
      <x:c r="P189" s="38"/>
      <x:c r="Q189" s="38"/>
      <x:c r="R189" s="38"/>
      <x:c r="S189" s="38" t="str">
        <x:f>IF(R189="Approved Current","Yes","No")</x:f>
        <x:v>No</x:v>
      </x:c>
      <x:c r="T189" s="38"/>
      <x:c r="U189" s="38"/>
      <x:c r="V189" s="38"/>
      <x:c r="W189" s="38"/>
      <x:c r="X189" s="38" t="str">
        <x:f>IF(D189="","",IF(V189&lt;&gt;"",V189,IF(J189="Walkover",IF(K189=XLOOKUP(D189,Fixtures!$A$5:$A$204,Fixtures!$D$5:$D$204,""),Rules!$C$12,IF(K189=XLOOKUP(D189,Fixtures!$A$5:$A$204,Fixtures!$F$5:$F$204,""),Rules!$C$13,"")),H189)))</x:f>
      </x:c>
      <x:c r="Y189" s="38" t="str">
        <x:f>IF(D189="","",IF(W189&lt;&gt;"",W189,IF(J189="Walkover",IF(K189=XLOOKUP(D189,Fixtures!$A$5:$A$204,Fixtures!$F$5:$F$204,""),Rules!$C$12,IF(K189=XLOOKUP(D189,Fixtures!$A$5:$A$204,Fixtures!$D$5:$D$204,""),Rules!$C$13,"")),I189)))</x:f>
      </x:c>
      <x:c r="Z189" s="38" t="str">
        <x:f>IF(D189="","",IF(AND(R189="Approved Current",OR(J189="Played",J189="Walkover")),"Yes","No"))</x:f>
      </x:c>
      <x:c r="AA189" s="38" t="str">
        <x:f>IF(D189="","",IF(AND(R189="Approved Current",COUNTIFS($D$5:$D$204,D189,$R$5:$R$204,"Approved Current")&gt;1),"Multiple Approved Current",IF(AND(J189="Walkover",K189=""),"Walkover missing winner","OK")))</x:f>
      </x:c>
    </x:row>
    <x:row r="190" ht="15" hidden="0" customHeight="1">
      <x:c r="A190" s="67"/>
      <x:c r="B190" s="38"/>
      <x:c r="C190" s="38"/>
      <x:c r="D190" s="38"/>
      <x:c r="E190" s="38" t="str">
        <x:f>IFERROR(XLOOKUP(D190,Fixtures!$A$5:$A$204,Fixtures!$M$5:$M$204,""),"")</x:f>
      </x:c>
      <x:c r="F190" s="38" t="str">
        <x:f>IFERROR(XLOOKUP(D190,Fixtures!$A$5:$A$204,Fixtures!$E$5:$E$204,""),"")</x:f>
      </x:c>
      <x:c r="G190" s="38" t="str">
        <x:f>IFERROR(XLOOKUP(D190,Fixtures!$A$5:$A$204,Fixtures!$G$5:$G$204,""),"")</x:f>
      </x:c>
      <x:c r="H190" s="38"/>
      <x:c r="I190" s="38"/>
      <x:c r="J190" s="38"/>
      <x:c r="K190" s="38"/>
      <x:c r="L190" s="60"/>
      <x:c r="M190" s="38"/>
      <x:c r="N190" s="38"/>
      <x:c r="O190" s="38"/>
      <x:c r="P190" s="38"/>
      <x:c r="Q190" s="38"/>
      <x:c r="R190" s="38"/>
      <x:c r="S190" s="38" t="str">
        <x:f>IF(R190="Approved Current","Yes","No")</x:f>
        <x:v>No</x:v>
      </x:c>
      <x:c r="T190" s="38"/>
      <x:c r="U190" s="38"/>
      <x:c r="V190" s="38"/>
      <x:c r="W190" s="38"/>
      <x:c r="X190" s="38" t="str">
        <x:f>IF(D190="","",IF(V190&lt;&gt;"",V190,IF(J190="Walkover",IF(K190=XLOOKUP(D190,Fixtures!$A$5:$A$204,Fixtures!$D$5:$D$204,""),Rules!$C$12,IF(K190=XLOOKUP(D190,Fixtures!$A$5:$A$204,Fixtures!$F$5:$F$204,""),Rules!$C$13,"")),H190)))</x:f>
      </x:c>
      <x:c r="Y190" s="38" t="str">
        <x:f>IF(D190="","",IF(W190&lt;&gt;"",W190,IF(J190="Walkover",IF(K190=XLOOKUP(D190,Fixtures!$A$5:$A$204,Fixtures!$F$5:$F$204,""),Rules!$C$12,IF(K190=XLOOKUP(D190,Fixtures!$A$5:$A$204,Fixtures!$D$5:$D$204,""),Rules!$C$13,"")),I190)))</x:f>
      </x:c>
      <x:c r="Z190" s="38" t="str">
        <x:f>IF(D190="","",IF(AND(R190="Approved Current",OR(J190="Played",J190="Walkover")),"Yes","No"))</x:f>
      </x:c>
      <x:c r="AA190" s="38" t="str">
        <x:f>IF(D190="","",IF(AND(R190="Approved Current",COUNTIFS($D$5:$D$204,D190,$R$5:$R$204,"Approved Current")&gt;1),"Multiple Approved Current",IF(AND(J190="Walkover",K190=""),"Walkover missing winner","OK")))</x:f>
      </x:c>
    </x:row>
    <x:row r="191" ht="15" hidden="0" customHeight="1">
      <x:c r="A191" s="67"/>
      <x:c r="B191" s="38"/>
      <x:c r="C191" s="38"/>
      <x:c r="D191" s="38"/>
      <x:c r="E191" s="38" t="str">
        <x:f>IFERROR(XLOOKUP(D191,Fixtures!$A$5:$A$204,Fixtures!$M$5:$M$204,""),"")</x:f>
      </x:c>
      <x:c r="F191" s="38" t="str">
        <x:f>IFERROR(XLOOKUP(D191,Fixtures!$A$5:$A$204,Fixtures!$E$5:$E$204,""),"")</x:f>
      </x:c>
      <x:c r="G191" s="38" t="str">
        <x:f>IFERROR(XLOOKUP(D191,Fixtures!$A$5:$A$204,Fixtures!$G$5:$G$204,""),"")</x:f>
      </x:c>
      <x:c r="H191" s="38"/>
      <x:c r="I191" s="38"/>
      <x:c r="J191" s="38"/>
      <x:c r="K191" s="38"/>
      <x:c r="L191" s="60"/>
      <x:c r="M191" s="38"/>
      <x:c r="N191" s="38"/>
      <x:c r="O191" s="38"/>
      <x:c r="P191" s="38"/>
      <x:c r="Q191" s="38"/>
      <x:c r="R191" s="38"/>
      <x:c r="S191" s="38" t="str">
        <x:f>IF(R191="Approved Current","Yes","No")</x:f>
        <x:v>No</x:v>
      </x:c>
      <x:c r="T191" s="38"/>
      <x:c r="U191" s="38"/>
      <x:c r="V191" s="38"/>
      <x:c r="W191" s="38"/>
      <x:c r="X191" s="38" t="str">
        <x:f>IF(D191="","",IF(V191&lt;&gt;"",V191,IF(J191="Walkover",IF(K191=XLOOKUP(D191,Fixtures!$A$5:$A$204,Fixtures!$D$5:$D$204,""),Rules!$C$12,IF(K191=XLOOKUP(D191,Fixtures!$A$5:$A$204,Fixtures!$F$5:$F$204,""),Rules!$C$13,"")),H191)))</x:f>
      </x:c>
      <x:c r="Y191" s="38" t="str">
        <x:f>IF(D191="","",IF(W191&lt;&gt;"",W191,IF(J191="Walkover",IF(K191=XLOOKUP(D191,Fixtures!$A$5:$A$204,Fixtures!$F$5:$F$204,""),Rules!$C$12,IF(K191=XLOOKUP(D191,Fixtures!$A$5:$A$204,Fixtures!$D$5:$D$204,""),Rules!$C$13,"")),I191)))</x:f>
      </x:c>
      <x:c r="Z191" s="38" t="str">
        <x:f>IF(D191="","",IF(AND(R191="Approved Current",OR(J191="Played",J191="Walkover")),"Yes","No"))</x:f>
      </x:c>
      <x:c r="AA191" s="38" t="str">
        <x:f>IF(D191="","",IF(AND(R191="Approved Current",COUNTIFS($D$5:$D$204,D191,$R$5:$R$204,"Approved Current")&gt;1),"Multiple Approved Current",IF(AND(J191="Walkover",K191=""),"Walkover missing winner","OK")))</x:f>
      </x:c>
    </x:row>
    <x:row r="192" ht="15" hidden="0" customHeight="1">
      <x:c r="A192" s="67"/>
      <x:c r="B192" s="38"/>
      <x:c r="C192" s="38"/>
      <x:c r="D192" s="38"/>
      <x:c r="E192" s="38" t="str">
        <x:f>IFERROR(XLOOKUP(D192,Fixtures!$A$5:$A$204,Fixtures!$M$5:$M$204,""),"")</x:f>
      </x:c>
      <x:c r="F192" s="38" t="str">
        <x:f>IFERROR(XLOOKUP(D192,Fixtures!$A$5:$A$204,Fixtures!$E$5:$E$204,""),"")</x:f>
      </x:c>
      <x:c r="G192" s="38" t="str">
        <x:f>IFERROR(XLOOKUP(D192,Fixtures!$A$5:$A$204,Fixtures!$G$5:$G$204,""),"")</x:f>
      </x:c>
      <x:c r="H192" s="38"/>
      <x:c r="I192" s="38"/>
      <x:c r="J192" s="38"/>
      <x:c r="K192" s="38"/>
      <x:c r="L192" s="60"/>
      <x:c r="M192" s="38"/>
      <x:c r="N192" s="38"/>
      <x:c r="O192" s="38"/>
      <x:c r="P192" s="38"/>
      <x:c r="Q192" s="38"/>
      <x:c r="R192" s="38"/>
      <x:c r="S192" s="38" t="str">
        <x:f>IF(R192="Approved Current","Yes","No")</x:f>
        <x:v>No</x:v>
      </x:c>
      <x:c r="T192" s="38"/>
      <x:c r="U192" s="38"/>
      <x:c r="V192" s="38"/>
      <x:c r="W192" s="38"/>
      <x:c r="X192" s="38" t="str">
        <x:f>IF(D192="","",IF(V192&lt;&gt;"",V192,IF(J192="Walkover",IF(K192=XLOOKUP(D192,Fixtures!$A$5:$A$204,Fixtures!$D$5:$D$204,""),Rules!$C$12,IF(K192=XLOOKUP(D192,Fixtures!$A$5:$A$204,Fixtures!$F$5:$F$204,""),Rules!$C$13,"")),H192)))</x:f>
      </x:c>
      <x:c r="Y192" s="38" t="str">
        <x:f>IF(D192="","",IF(W192&lt;&gt;"",W192,IF(J192="Walkover",IF(K192=XLOOKUP(D192,Fixtures!$A$5:$A$204,Fixtures!$F$5:$F$204,""),Rules!$C$12,IF(K192=XLOOKUP(D192,Fixtures!$A$5:$A$204,Fixtures!$D$5:$D$204,""),Rules!$C$13,"")),I192)))</x:f>
      </x:c>
      <x:c r="Z192" s="38" t="str">
        <x:f>IF(D192="","",IF(AND(R192="Approved Current",OR(J192="Played",J192="Walkover")),"Yes","No"))</x:f>
      </x:c>
      <x:c r="AA192" s="38" t="str">
        <x:f>IF(D192="","",IF(AND(R192="Approved Current",COUNTIFS($D$5:$D$204,D192,$R$5:$R$204,"Approved Current")&gt;1),"Multiple Approved Current",IF(AND(J192="Walkover",K192=""),"Walkover missing winner","OK")))</x:f>
      </x:c>
    </x:row>
    <x:row r="193" ht="15" hidden="0" customHeight="1">
      <x:c r="A193" s="67"/>
      <x:c r="B193" s="38"/>
      <x:c r="C193" s="38"/>
      <x:c r="D193" s="38"/>
      <x:c r="E193" s="38" t="str">
        <x:f>IFERROR(XLOOKUP(D193,Fixtures!$A$5:$A$204,Fixtures!$M$5:$M$204,""),"")</x:f>
      </x:c>
      <x:c r="F193" s="38" t="str">
        <x:f>IFERROR(XLOOKUP(D193,Fixtures!$A$5:$A$204,Fixtures!$E$5:$E$204,""),"")</x:f>
      </x:c>
      <x:c r="G193" s="38" t="str">
        <x:f>IFERROR(XLOOKUP(D193,Fixtures!$A$5:$A$204,Fixtures!$G$5:$G$204,""),"")</x:f>
      </x:c>
      <x:c r="H193" s="38"/>
      <x:c r="I193" s="38"/>
      <x:c r="J193" s="38"/>
      <x:c r="K193" s="38"/>
      <x:c r="L193" s="60"/>
      <x:c r="M193" s="38"/>
      <x:c r="N193" s="38"/>
      <x:c r="O193" s="38"/>
      <x:c r="P193" s="38"/>
      <x:c r="Q193" s="38"/>
      <x:c r="R193" s="38"/>
      <x:c r="S193" s="38" t="str">
        <x:f>IF(R193="Approved Current","Yes","No")</x:f>
        <x:v>No</x:v>
      </x:c>
      <x:c r="T193" s="38"/>
      <x:c r="U193" s="38"/>
      <x:c r="V193" s="38"/>
      <x:c r="W193" s="38"/>
      <x:c r="X193" s="38" t="str">
        <x:f>IF(D193="","",IF(V193&lt;&gt;"",V193,IF(J193="Walkover",IF(K193=XLOOKUP(D193,Fixtures!$A$5:$A$204,Fixtures!$D$5:$D$204,""),Rules!$C$12,IF(K193=XLOOKUP(D193,Fixtures!$A$5:$A$204,Fixtures!$F$5:$F$204,""),Rules!$C$13,"")),H193)))</x:f>
      </x:c>
      <x:c r="Y193" s="38" t="str">
        <x:f>IF(D193="","",IF(W193&lt;&gt;"",W193,IF(J193="Walkover",IF(K193=XLOOKUP(D193,Fixtures!$A$5:$A$204,Fixtures!$F$5:$F$204,""),Rules!$C$12,IF(K193=XLOOKUP(D193,Fixtures!$A$5:$A$204,Fixtures!$D$5:$D$204,""),Rules!$C$13,"")),I193)))</x:f>
      </x:c>
      <x:c r="Z193" s="38" t="str">
        <x:f>IF(D193="","",IF(AND(R193="Approved Current",OR(J193="Played",J193="Walkover")),"Yes","No"))</x:f>
      </x:c>
      <x:c r="AA193" s="38" t="str">
        <x:f>IF(D193="","",IF(AND(R193="Approved Current",COUNTIFS($D$5:$D$204,D193,$R$5:$R$204,"Approved Current")&gt;1),"Multiple Approved Current",IF(AND(J193="Walkover",K193=""),"Walkover missing winner","OK")))</x:f>
      </x:c>
    </x:row>
    <x:row r="194" ht="15" hidden="0" customHeight="1">
      <x:c r="A194" s="67"/>
      <x:c r="B194" s="38"/>
      <x:c r="C194" s="38"/>
      <x:c r="D194" s="38"/>
      <x:c r="E194" s="38" t="str">
        <x:f>IFERROR(XLOOKUP(D194,Fixtures!$A$5:$A$204,Fixtures!$M$5:$M$204,""),"")</x:f>
      </x:c>
      <x:c r="F194" s="38" t="str">
        <x:f>IFERROR(XLOOKUP(D194,Fixtures!$A$5:$A$204,Fixtures!$E$5:$E$204,""),"")</x:f>
      </x:c>
      <x:c r="G194" s="38" t="str">
        <x:f>IFERROR(XLOOKUP(D194,Fixtures!$A$5:$A$204,Fixtures!$G$5:$G$204,""),"")</x:f>
      </x:c>
      <x:c r="H194" s="38"/>
      <x:c r="I194" s="38"/>
      <x:c r="J194" s="38"/>
      <x:c r="K194" s="38"/>
      <x:c r="L194" s="60"/>
      <x:c r="M194" s="38"/>
      <x:c r="N194" s="38"/>
      <x:c r="O194" s="38"/>
      <x:c r="P194" s="38"/>
      <x:c r="Q194" s="38"/>
      <x:c r="R194" s="38"/>
      <x:c r="S194" s="38" t="str">
        <x:f>IF(R194="Approved Current","Yes","No")</x:f>
        <x:v>No</x:v>
      </x:c>
      <x:c r="T194" s="38"/>
      <x:c r="U194" s="38"/>
      <x:c r="V194" s="38"/>
      <x:c r="W194" s="38"/>
      <x:c r="X194" s="38" t="str">
        <x:f>IF(D194="","",IF(V194&lt;&gt;"",V194,IF(J194="Walkover",IF(K194=XLOOKUP(D194,Fixtures!$A$5:$A$204,Fixtures!$D$5:$D$204,""),Rules!$C$12,IF(K194=XLOOKUP(D194,Fixtures!$A$5:$A$204,Fixtures!$F$5:$F$204,""),Rules!$C$13,"")),H194)))</x:f>
      </x:c>
      <x:c r="Y194" s="38" t="str">
        <x:f>IF(D194="","",IF(W194&lt;&gt;"",W194,IF(J194="Walkover",IF(K194=XLOOKUP(D194,Fixtures!$A$5:$A$204,Fixtures!$F$5:$F$204,""),Rules!$C$12,IF(K194=XLOOKUP(D194,Fixtures!$A$5:$A$204,Fixtures!$D$5:$D$204,""),Rules!$C$13,"")),I194)))</x:f>
      </x:c>
      <x:c r="Z194" s="38" t="str">
        <x:f>IF(D194="","",IF(AND(R194="Approved Current",OR(J194="Played",J194="Walkover")),"Yes","No"))</x:f>
      </x:c>
      <x:c r="AA194" s="38" t="str">
        <x:f>IF(D194="","",IF(AND(R194="Approved Current",COUNTIFS($D$5:$D$204,D194,$R$5:$R$204,"Approved Current")&gt;1),"Multiple Approved Current",IF(AND(J194="Walkover",K194=""),"Walkover missing winner","OK")))</x:f>
      </x:c>
    </x:row>
    <x:row r="195" ht="15" hidden="0" customHeight="1">
      <x:c r="A195" s="67"/>
      <x:c r="B195" s="38"/>
      <x:c r="C195" s="38"/>
      <x:c r="D195" s="38"/>
      <x:c r="E195" s="38" t="str">
        <x:f>IFERROR(XLOOKUP(D195,Fixtures!$A$5:$A$204,Fixtures!$M$5:$M$204,""),"")</x:f>
      </x:c>
      <x:c r="F195" s="38" t="str">
        <x:f>IFERROR(XLOOKUP(D195,Fixtures!$A$5:$A$204,Fixtures!$E$5:$E$204,""),"")</x:f>
      </x:c>
      <x:c r="G195" s="38" t="str">
        <x:f>IFERROR(XLOOKUP(D195,Fixtures!$A$5:$A$204,Fixtures!$G$5:$G$204,""),"")</x:f>
      </x:c>
      <x:c r="H195" s="38"/>
      <x:c r="I195" s="38"/>
      <x:c r="J195" s="38"/>
      <x:c r="K195" s="38"/>
      <x:c r="L195" s="60"/>
      <x:c r="M195" s="38"/>
      <x:c r="N195" s="38"/>
      <x:c r="O195" s="38"/>
      <x:c r="P195" s="38"/>
      <x:c r="Q195" s="38"/>
      <x:c r="R195" s="38"/>
      <x:c r="S195" s="38" t="str">
        <x:f>IF(R195="Approved Current","Yes","No")</x:f>
        <x:v>No</x:v>
      </x:c>
      <x:c r="T195" s="38"/>
      <x:c r="U195" s="38"/>
      <x:c r="V195" s="38"/>
      <x:c r="W195" s="38"/>
      <x:c r="X195" s="38" t="str">
        <x:f>IF(D195="","",IF(V195&lt;&gt;"",V195,IF(J195="Walkover",IF(K195=XLOOKUP(D195,Fixtures!$A$5:$A$204,Fixtures!$D$5:$D$204,""),Rules!$C$12,IF(K195=XLOOKUP(D195,Fixtures!$A$5:$A$204,Fixtures!$F$5:$F$204,""),Rules!$C$13,"")),H195)))</x:f>
      </x:c>
      <x:c r="Y195" s="38" t="str">
        <x:f>IF(D195="","",IF(W195&lt;&gt;"",W195,IF(J195="Walkover",IF(K195=XLOOKUP(D195,Fixtures!$A$5:$A$204,Fixtures!$F$5:$F$204,""),Rules!$C$12,IF(K195=XLOOKUP(D195,Fixtures!$A$5:$A$204,Fixtures!$D$5:$D$204,""),Rules!$C$13,"")),I195)))</x:f>
      </x:c>
      <x:c r="Z195" s="38" t="str">
        <x:f>IF(D195="","",IF(AND(R195="Approved Current",OR(J195="Played",J195="Walkover")),"Yes","No"))</x:f>
      </x:c>
      <x:c r="AA195" s="38" t="str">
        <x:f>IF(D195="","",IF(AND(R195="Approved Current",COUNTIFS($D$5:$D$204,D195,$R$5:$R$204,"Approved Current")&gt;1),"Multiple Approved Current",IF(AND(J195="Walkover",K195=""),"Walkover missing winner","OK")))</x:f>
      </x:c>
    </x:row>
    <x:row r="196" ht="15" hidden="0" customHeight="1">
      <x:c r="A196" s="67"/>
      <x:c r="B196" s="38"/>
      <x:c r="C196" s="38"/>
      <x:c r="D196" s="38"/>
      <x:c r="E196" s="38" t="str">
        <x:f>IFERROR(XLOOKUP(D196,Fixtures!$A$5:$A$204,Fixtures!$M$5:$M$204,""),"")</x:f>
      </x:c>
      <x:c r="F196" s="38" t="str">
        <x:f>IFERROR(XLOOKUP(D196,Fixtures!$A$5:$A$204,Fixtures!$E$5:$E$204,""),"")</x:f>
      </x:c>
      <x:c r="G196" s="38" t="str">
        <x:f>IFERROR(XLOOKUP(D196,Fixtures!$A$5:$A$204,Fixtures!$G$5:$G$204,""),"")</x:f>
      </x:c>
      <x:c r="H196" s="38"/>
      <x:c r="I196" s="38"/>
      <x:c r="J196" s="38"/>
      <x:c r="K196" s="38"/>
      <x:c r="L196" s="60"/>
      <x:c r="M196" s="38"/>
      <x:c r="N196" s="38"/>
      <x:c r="O196" s="38"/>
      <x:c r="P196" s="38"/>
      <x:c r="Q196" s="38"/>
      <x:c r="R196" s="38"/>
      <x:c r="S196" s="38" t="str">
        <x:f>IF(R196="Approved Current","Yes","No")</x:f>
        <x:v>No</x:v>
      </x:c>
      <x:c r="T196" s="38"/>
      <x:c r="U196" s="38"/>
      <x:c r="V196" s="38"/>
      <x:c r="W196" s="38"/>
      <x:c r="X196" s="38" t="str">
        <x:f>IF(D196="","",IF(V196&lt;&gt;"",V196,IF(J196="Walkover",IF(K196=XLOOKUP(D196,Fixtures!$A$5:$A$204,Fixtures!$D$5:$D$204,""),Rules!$C$12,IF(K196=XLOOKUP(D196,Fixtures!$A$5:$A$204,Fixtures!$F$5:$F$204,""),Rules!$C$13,"")),H196)))</x:f>
      </x:c>
      <x:c r="Y196" s="38" t="str">
        <x:f>IF(D196="","",IF(W196&lt;&gt;"",W196,IF(J196="Walkover",IF(K196=XLOOKUP(D196,Fixtures!$A$5:$A$204,Fixtures!$F$5:$F$204,""),Rules!$C$12,IF(K196=XLOOKUP(D196,Fixtures!$A$5:$A$204,Fixtures!$D$5:$D$204,""),Rules!$C$13,"")),I196)))</x:f>
      </x:c>
      <x:c r="Z196" s="38" t="str">
        <x:f>IF(D196="","",IF(AND(R196="Approved Current",OR(J196="Played",J196="Walkover")),"Yes","No"))</x:f>
      </x:c>
      <x:c r="AA196" s="38" t="str">
        <x:f>IF(D196="","",IF(AND(R196="Approved Current",COUNTIFS($D$5:$D$204,D196,$R$5:$R$204,"Approved Current")&gt;1),"Multiple Approved Current",IF(AND(J196="Walkover",K196=""),"Walkover missing winner","OK")))</x:f>
      </x:c>
    </x:row>
    <x:row r="197" ht="15" hidden="0" customHeight="1">
      <x:c r="A197" s="67"/>
      <x:c r="B197" s="38"/>
      <x:c r="C197" s="38"/>
      <x:c r="D197" s="38"/>
      <x:c r="E197" s="38" t="str">
        <x:f>IFERROR(XLOOKUP(D197,Fixtures!$A$5:$A$204,Fixtures!$M$5:$M$204,""),"")</x:f>
      </x:c>
      <x:c r="F197" s="38" t="str">
        <x:f>IFERROR(XLOOKUP(D197,Fixtures!$A$5:$A$204,Fixtures!$E$5:$E$204,""),"")</x:f>
      </x:c>
      <x:c r="G197" s="38" t="str">
        <x:f>IFERROR(XLOOKUP(D197,Fixtures!$A$5:$A$204,Fixtures!$G$5:$G$204,""),"")</x:f>
      </x:c>
      <x:c r="H197" s="38"/>
      <x:c r="I197" s="38"/>
      <x:c r="J197" s="38"/>
      <x:c r="K197" s="38"/>
      <x:c r="L197" s="60"/>
      <x:c r="M197" s="38"/>
      <x:c r="N197" s="38"/>
      <x:c r="O197" s="38"/>
      <x:c r="P197" s="38"/>
      <x:c r="Q197" s="38"/>
      <x:c r="R197" s="38"/>
      <x:c r="S197" s="38" t="str">
        <x:f>IF(R197="Approved Current","Yes","No")</x:f>
        <x:v>No</x:v>
      </x:c>
      <x:c r="T197" s="38"/>
      <x:c r="U197" s="38"/>
      <x:c r="V197" s="38"/>
      <x:c r="W197" s="38"/>
      <x:c r="X197" s="38" t="str">
        <x:f>IF(D197="","",IF(V197&lt;&gt;"",V197,IF(J197="Walkover",IF(K197=XLOOKUP(D197,Fixtures!$A$5:$A$204,Fixtures!$D$5:$D$204,""),Rules!$C$12,IF(K197=XLOOKUP(D197,Fixtures!$A$5:$A$204,Fixtures!$F$5:$F$204,""),Rules!$C$13,"")),H197)))</x:f>
      </x:c>
      <x:c r="Y197" s="38" t="str">
        <x:f>IF(D197="","",IF(W197&lt;&gt;"",W197,IF(J197="Walkover",IF(K197=XLOOKUP(D197,Fixtures!$A$5:$A$204,Fixtures!$F$5:$F$204,""),Rules!$C$12,IF(K197=XLOOKUP(D197,Fixtures!$A$5:$A$204,Fixtures!$D$5:$D$204,""),Rules!$C$13,"")),I197)))</x:f>
      </x:c>
      <x:c r="Z197" s="38" t="str">
        <x:f>IF(D197="","",IF(AND(R197="Approved Current",OR(J197="Played",J197="Walkover")),"Yes","No"))</x:f>
      </x:c>
      <x:c r="AA197" s="38" t="str">
        <x:f>IF(D197="","",IF(AND(R197="Approved Current",COUNTIFS($D$5:$D$204,D197,$R$5:$R$204,"Approved Current")&gt;1),"Multiple Approved Current",IF(AND(J197="Walkover",K197=""),"Walkover missing winner","OK")))</x:f>
      </x:c>
    </x:row>
    <x:row r="198" ht="15" hidden="0" customHeight="1">
      <x:c r="A198" s="67"/>
      <x:c r="B198" s="38"/>
      <x:c r="C198" s="38"/>
      <x:c r="D198" s="38"/>
      <x:c r="E198" s="38" t="str">
        <x:f>IFERROR(XLOOKUP(D198,Fixtures!$A$5:$A$204,Fixtures!$M$5:$M$204,""),"")</x:f>
      </x:c>
      <x:c r="F198" s="38" t="str">
        <x:f>IFERROR(XLOOKUP(D198,Fixtures!$A$5:$A$204,Fixtures!$E$5:$E$204,""),"")</x:f>
      </x:c>
      <x:c r="G198" s="38" t="str">
        <x:f>IFERROR(XLOOKUP(D198,Fixtures!$A$5:$A$204,Fixtures!$G$5:$G$204,""),"")</x:f>
      </x:c>
      <x:c r="H198" s="38"/>
      <x:c r="I198" s="38"/>
      <x:c r="J198" s="38"/>
      <x:c r="K198" s="38"/>
      <x:c r="L198" s="60"/>
      <x:c r="M198" s="38"/>
      <x:c r="N198" s="38"/>
      <x:c r="O198" s="38"/>
      <x:c r="P198" s="38"/>
      <x:c r="Q198" s="38"/>
      <x:c r="R198" s="38"/>
      <x:c r="S198" s="38" t="str">
        <x:f>IF(R198="Approved Current","Yes","No")</x:f>
        <x:v>No</x:v>
      </x:c>
      <x:c r="T198" s="38"/>
      <x:c r="U198" s="38"/>
      <x:c r="V198" s="38"/>
      <x:c r="W198" s="38"/>
      <x:c r="X198" s="38" t="str">
        <x:f>IF(D198="","",IF(V198&lt;&gt;"",V198,IF(J198="Walkover",IF(K198=XLOOKUP(D198,Fixtures!$A$5:$A$204,Fixtures!$D$5:$D$204,""),Rules!$C$12,IF(K198=XLOOKUP(D198,Fixtures!$A$5:$A$204,Fixtures!$F$5:$F$204,""),Rules!$C$13,"")),H198)))</x:f>
      </x:c>
      <x:c r="Y198" s="38" t="str">
        <x:f>IF(D198="","",IF(W198&lt;&gt;"",W198,IF(J198="Walkover",IF(K198=XLOOKUP(D198,Fixtures!$A$5:$A$204,Fixtures!$F$5:$F$204,""),Rules!$C$12,IF(K198=XLOOKUP(D198,Fixtures!$A$5:$A$204,Fixtures!$D$5:$D$204,""),Rules!$C$13,"")),I198)))</x:f>
      </x:c>
      <x:c r="Z198" s="38" t="str">
        <x:f>IF(D198="","",IF(AND(R198="Approved Current",OR(J198="Played",J198="Walkover")),"Yes","No"))</x:f>
      </x:c>
      <x:c r="AA198" s="38" t="str">
        <x:f>IF(D198="","",IF(AND(R198="Approved Current",COUNTIFS($D$5:$D$204,D198,$R$5:$R$204,"Approved Current")&gt;1),"Multiple Approved Current",IF(AND(J198="Walkover",K198=""),"Walkover missing winner","OK")))</x:f>
      </x:c>
    </x:row>
    <x:row r="199" ht="15" hidden="0" customHeight="1">
      <x:c r="A199" s="67"/>
      <x:c r="B199" s="38"/>
      <x:c r="C199" s="38"/>
      <x:c r="D199" s="38"/>
      <x:c r="E199" s="38" t="str">
        <x:f>IFERROR(XLOOKUP(D199,Fixtures!$A$5:$A$204,Fixtures!$M$5:$M$204,""),"")</x:f>
      </x:c>
      <x:c r="F199" s="38" t="str">
        <x:f>IFERROR(XLOOKUP(D199,Fixtures!$A$5:$A$204,Fixtures!$E$5:$E$204,""),"")</x:f>
      </x:c>
      <x:c r="G199" s="38" t="str">
        <x:f>IFERROR(XLOOKUP(D199,Fixtures!$A$5:$A$204,Fixtures!$G$5:$G$204,""),"")</x:f>
      </x:c>
      <x:c r="H199" s="38"/>
      <x:c r="I199" s="38"/>
      <x:c r="J199" s="38"/>
      <x:c r="K199" s="38"/>
      <x:c r="L199" s="60"/>
      <x:c r="M199" s="38"/>
      <x:c r="N199" s="38"/>
      <x:c r="O199" s="38"/>
      <x:c r="P199" s="38"/>
      <x:c r="Q199" s="38"/>
      <x:c r="R199" s="38"/>
      <x:c r="S199" s="38" t="str">
        <x:f>IF(R199="Approved Current","Yes","No")</x:f>
        <x:v>No</x:v>
      </x:c>
      <x:c r="T199" s="38"/>
      <x:c r="U199" s="38"/>
      <x:c r="V199" s="38"/>
      <x:c r="W199" s="38"/>
      <x:c r="X199" s="38" t="str">
        <x:f>IF(D199="","",IF(V199&lt;&gt;"",V199,IF(J199="Walkover",IF(K199=XLOOKUP(D199,Fixtures!$A$5:$A$204,Fixtures!$D$5:$D$204,""),Rules!$C$12,IF(K199=XLOOKUP(D199,Fixtures!$A$5:$A$204,Fixtures!$F$5:$F$204,""),Rules!$C$13,"")),H199)))</x:f>
      </x:c>
      <x:c r="Y199" s="38" t="str">
        <x:f>IF(D199="","",IF(W199&lt;&gt;"",W199,IF(J199="Walkover",IF(K199=XLOOKUP(D199,Fixtures!$A$5:$A$204,Fixtures!$F$5:$F$204,""),Rules!$C$12,IF(K199=XLOOKUP(D199,Fixtures!$A$5:$A$204,Fixtures!$D$5:$D$204,""),Rules!$C$13,"")),I199)))</x:f>
      </x:c>
      <x:c r="Z199" s="38" t="str">
        <x:f>IF(D199="","",IF(AND(R199="Approved Current",OR(J199="Played",J199="Walkover")),"Yes","No"))</x:f>
      </x:c>
      <x:c r="AA199" s="38" t="str">
        <x:f>IF(D199="","",IF(AND(R199="Approved Current",COUNTIFS($D$5:$D$204,D199,$R$5:$R$204,"Approved Current")&gt;1),"Multiple Approved Current",IF(AND(J199="Walkover",K199=""),"Walkover missing winner","OK")))</x:f>
      </x:c>
    </x:row>
    <x:row r="200" ht="15" hidden="0" customHeight="1">
      <x:c r="A200" s="67"/>
      <x:c r="B200" s="38"/>
      <x:c r="C200" s="38"/>
      <x:c r="D200" s="38"/>
      <x:c r="E200" s="38" t="str">
        <x:f>IFERROR(XLOOKUP(D200,Fixtures!$A$5:$A$204,Fixtures!$M$5:$M$204,""),"")</x:f>
      </x:c>
      <x:c r="F200" s="38" t="str">
        <x:f>IFERROR(XLOOKUP(D200,Fixtures!$A$5:$A$204,Fixtures!$E$5:$E$204,""),"")</x:f>
      </x:c>
      <x:c r="G200" s="38" t="str">
        <x:f>IFERROR(XLOOKUP(D200,Fixtures!$A$5:$A$204,Fixtures!$G$5:$G$204,""),"")</x:f>
      </x:c>
      <x:c r="H200" s="38"/>
      <x:c r="I200" s="38"/>
      <x:c r="J200" s="38"/>
      <x:c r="K200" s="38"/>
      <x:c r="L200" s="60"/>
      <x:c r="M200" s="38"/>
      <x:c r="N200" s="38"/>
      <x:c r="O200" s="38"/>
      <x:c r="P200" s="38"/>
      <x:c r="Q200" s="38"/>
      <x:c r="R200" s="38"/>
      <x:c r="S200" s="38" t="str">
        <x:f>IF(R200="Approved Current","Yes","No")</x:f>
        <x:v>No</x:v>
      </x:c>
      <x:c r="T200" s="38"/>
      <x:c r="U200" s="38"/>
      <x:c r="V200" s="38"/>
      <x:c r="W200" s="38"/>
      <x:c r="X200" s="38" t="str">
        <x:f>IF(D200="","",IF(V200&lt;&gt;"",V200,IF(J200="Walkover",IF(K200=XLOOKUP(D200,Fixtures!$A$5:$A$204,Fixtures!$D$5:$D$204,""),Rules!$C$12,IF(K200=XLOOKUP(D200,Fixtures!$A$5:$A$204,Fixtures!$F$5:$F$204,""),Rules!$C$13,"")),H200)))</x:f>
      </x:c>
      <x:c r="Y200" s="38" t="str">
        <x:f>IF(D200="","",IF(W200&lt;&gt;"",W200,IF(J200="Walkover",IF(K200=XLOOKUP(D200,Fixtures!$A$5:$A$204,Fixtures!$F$5:$F$204,""),Rules!$C$12,IF(K200=XLOOKUP(D200,Fixtures!$A$5:$A$204,Fixtures!$D$5:$D$204,""),Rules!$C$13,"")),I200)))</x:f>
      </x:c>
      <x:c r="Z200" s="38" t="str">
        <x:f>IF(D200="","",IF(AND(R200="Approved Current",OR(J200="Played",J200="Walkover")),"Yes","No"))</x:f>
      </x:c>
      <x:c r="AA200" s="38" t="str">
        <x:f>IF(D200="","",IF(AND(R200="Approved Current",COUNTIFS($D$5:$D$204,D200,$R$5:$R$204,"Approved Current")&gt;1),"Multiple Approved Current",IF(AND(J200="Walkover",K200=""),"Walkover missing winner","OK")))</x:f>
      </x:c>
    </x:row>
    <x:row r="201" ht="15" hidden="0" customHeight="1">
      <x:c r="A201" s="67"/>
      <x:c r="B201" s="38"/>
      <x:c r="C201" s="38"/>
      <x:c r="D201" s="38"/>
      <x:c r="E201" s="38" t="str">
        <x:f>IFERROR(XLOOKUP(D201,Fixtures!$A$5:$A$204,Fixtures!$M$5:$M$204,""),"")</x:f>
      </x:c>
      <x:c r="F201" s="38" t="str">
        <x:f>IFERROR(XLOOKUP(D201,Fixtures!$A$5:$A$204,Fixtures!$E$5:$E$204,""),"")</x:f>
      </x:c>
      <x:c r="G201" s="38" t="str">
        <x:f>IFERROR(XLOOKUP(D201,Fixtures!$A$5:$A$204,Fixtures!$G$5:$G$204,""),"")</x:f>
      </x:c>
      <x:c r="H201" s="38"/>
      <x:c r="I201" s="38"/>
      <x:c r="J201" s="38"/>
      <x:c r="K201" s="38"/>
      <x:c r="L201" s="60"/>
      <x:c r="M201" s="38"/>
      <x:c r="N201" s="38"/>
      <x:c r="O201" s="38"/>
      <x:c r="P201" s="38"/>
      <x:c r="Q201" s="38"/>
      <x:c r="R201" s="38"/>
      <x:c r="S201" s="38" t="str">
        <x:f>IF(R201="Approved Current","Yes","No")</x:f>
        <x:v>No</x:v>
      </x:c>
      <x:c r="T201" s="38"/>
      <x:c r="U201" s="38"/>
      <x:c r="V201" s="38"/>
      <x:c r="W201" s="38"/>
      <x:c r="X201" s="38" t="str">
        <x:f>IF(D201="","",IF(V201&lt;&gt;"",V201,IF(J201="Walkover",IF(K201=XLOOKUP(D201,Fixtures!$A$5:$A$204,Fixtures!$D$5:$D$204,""),Rules!$C$12,IF(K201=XLOOKUP(D201,Fixtures!$A$5:$A$204,Fixtures!$F$5:$F$204,""),Rules!$C$13,"")),H201)))</x:f>
      </x:c>
      <x:c r="Y201" s="38" t="str">
        <x:f>IF(D201="","",IF(W201&lt;&gt;"",W201,IF(J201="Walkover",IF(K201=XLOOKUP(D201,Fixtures!$A$5:$A$204,Fixtures!$F$5:$F$204,""),Rules!$C$12,IF(K201=XLOOKUP(D201,Fixtures!$A$5:$A$204,Fixtures!$D$5:$D$204,""),Rules!$C$13,"")),I201)))</x:f>
      </x:c>
      <x:c r="Z201" s="38" t="str">
        <x:f>IF(D201="","",IF(AND(R201="Approved Current",OR(J201="Played",J201="Walkover")),"Yes","No"))</x:f>
      </x:c>
      <x:c r="AA201" s="38" t="str">
        <x:f>IF(D201="","",IF(AND(R201="Approved Current",COUNTIFS($D$5:$D$204,D201,$R$5:$R$204,"Approved Current")&gt;1),"Multiple Approved Current",IF(AND(J201="Walkover",K201=""),"Walkover missing winner","OK")))</x:f>
      </x:c>
    </x:row>
    <x:row r="202" ht="15" hidden="0" customHeight="1">
      <x:c r="A202" s="67"/>
      <x:c r="B202" s="38"/>
      <x:c r="C202" s="38"/>
      <x:c r="D202" s="38"/>
      <x:c r="E202" s="38" t="str">
        <x:f>IFERROR(XLOOKUP(D202,Fixtures!$A$5:$A$204,Fixtures!$M$5:$M$204,""),"")</x:f>
      </x:c>
      <x:c r="F202" s="38" t="str">
        <x:f>IFERROR(XLOOKUP(D202,Fixtures!$A$5:$A$204,Fixtures!$E$5:$E$204,""),"")</x:f>
      </x:c>
      <x:c r="G202" s="38" t="str">
        <x:f>IFERROR(XLOOKUP(D202,Fixtures!$A$5:$A$204,Fixtures!$G$5:$G$204,""),"")</x:f>
      </x:c>
      <x:c r="H202" s="38"/>
      <x:c r="I202" s="38"/>
      <x:c r="J202" s="38"/>
      <x:c r="K202" s="38"/>
      <x:c r="L202" s="60"/>
      <x:c r="M202" s="38"/>
      <x:c r="N202" s="38"/>
      <x:c r="O202" s="38"/>
      <x:c r="P202" s="38"/>
      <x:c r="Q202" s="38"/>
      <x:c r="R202" s="38"/>
      <x:c r="S202" s="38" t="str">
        <x:f>IF(R202="Approved Current","Yes","No")</x:f>
        <x:v>No</x:v>
      </x:c>
      <x:c r="T202" s="38"/>
      <x:c r="U202" s="38"/>
      <x:c r="V202" s="38"/>
      <x:c r="W202" s="38"/>
      <x:c r="X202" s="38" t="str">
        <x:f>IF(D202="","",IF(V202&lt;&gt;"",V202,IF(J202="Walkover",IF(K202=XLOOKUP(D202,Fixtures!$A$5:$A$204,Fixtures!$D$5:$D$204,""),Rules!$C$12,IF(K202=XLOOKUP(D202,Fixtures!$A$5:$A$204,Fixtures!$F$5:$F$204,""),Rules!$C$13,"")),H202)))</x:f>
      </x:c>
      <x:c r="Y202" s="38" t="str">
        <x:f>IF(D202="","",IF(W202&lt;&gt;"",W202,IF(J202="Walkover",IF(K202=XLOOKUP(D202,Fixtures!$A$5:$A$204,Fixtures!$F$5:$F$204,""),Rules!$C$12,IF(K202=XLOOKUP(D202,Fixtures!$A$5:$A$204,Fixtures!$D$5:$D$204,""),Rules!$C$13,"")),I202)))</x:f>
      </x:c>
      <x:c r="Z202" s="38" t="str">
        <x:f>IF(D202="","",IF(AND(R202="Approved Current",OR(J202="Played",J202="Walkover")),"Yes","No"))</x:f>
      </x:c>
      <x:c r="AA202" s="38" t="str">
        <x:f>IF(D202="","",IF(AND(R202="Approved Current",COUNTIFS($D$5:$D$204,D202,$R$5:$R$204,"Approved Current")&gt;1),"Multiple Approved Current",IF(AND(J202="Walkover",K202=""),"Walkover missing winner","OK")))</x:f>
      </x:c>
    </x:row>
    <x:row r="203" ht="15" hidden="0" customHeight="1">
      <x:c r="A203" s="67"/>
      <x:c r="B203" s="38"/>
      <x:c r="C203" s="38"/>
      <x:c r="D203" s="38"/>
      <x:c r="E203" s="38" t="str">
        <x:f>IFERROR(XLOOKUP(D203,Fixtures!$A$5:$A$204,Fixtures!$M$5:$M$204,""),"")</x:f>
      </x:c>
      <x:c r="F203" s="38" t="str">
        <x:f>IFERROR(XLOOKUP(D203,Fixtures!$A$5:$A$204,Fixtures!$E$5:$E$204,""),"")</x:f>
      </x:c>
      <x:c r="G203" s="38" t="str">
        <x:f>IFERROR(XLOOKUP(D203,Fixtures!$A$5:$A$204,Fixtures!$G$5:$G$204,""),"")</x:f>
      </x:c>
      <x:c r="H203" s="38"/>
      <x:c r="I203" s="38"/>
      <x:c r="J203" s="38"/>
      <x:c r="K203" s="38"/>
      <x:c r="L203" s="60"/>
      <x:c r="M203" s="38"/>
      <x:c r="N203" s="38"/>
      <x:c r="O203" s="38"/>
      <x:c r="P203" s="38"/>
      <x:c r="Q203" s="38"/>
      <x:c r="R203" s="38"/>
      <x:c r="S203" s="38" t="str">
        <x:f>IF(R203="Approved Current","Yes","No")</x:f>
        <x:v>No</x:v>
      </x:c>
      <x:c r="T203" s="38"/>
      <x:c r="U203" s="38"/>
      <x:c r="V203" s="38"/>
      <x:c r="W203" s="38"/>
      <x:c r="X203" s="38" t="str">
        <x:f>IF(D203="","",IF(V203&lt;&gt;"",V203,IF(J203="Walkover",IF(K203=XLOOKUP(D203,Fixtures!$A$5:$A$204,Fixtures!$D$5:$D$204,""),Rules!$C$12,IF(K203=XLOOKUP(D203,Fixtures!$A$5:$A$204,Fixtures!$F$5:$F$204,""),Rules!$C$13,"")),H203)))</x:f>
      </x:c>
      <x:c r="Y203" s="38" t="str">
        <x:f>IF(D203="","",IF(W203&lt;&gt;"",W203,IF(J203="Walkover",IF(K203=XLOOKUP(D203,Fixtures!$A$5:$A$204,Fixtures!$F$5:$F$204,""),Rules!$C$12,IF(K203=XLOOKUP(D203,Fixtures!$A$5:$A$204,Fixtures!$D$5:$D$204,""),Rules!$C$13,"")),I203)))</x:f>
      </x:c>
      <x:c r="Z203" s="38" t="str">
        <x:f>IF(D203="","",IF(AND(R203="Approved Current",OR(J203="Played",J203="Walkover")),"Yes","No"))</x:f>
      </x:c>
      <x:c r="AA203" s="38" t="str">
        <x:f>IF(D203="","",IF(AND(R203="Approved Current",COUNTIFS($D$5:$D$204,D203,$R$5:$R$204,"Approved Current")&gt;1),"Multiple Approved Current",IF(AND(J203="Walkover",K203=""),"Walkover missing winner","OK")))</x:f>
      </x:c>
    </x:row>
    <x:row r="204" ht="15" hidden="0" customHeight="1">
      <x:c r="A204" s="67"/>
      <x:c r="B204" s="38"/>
      <x:c r="C204" s="38"/>
      <x:c r="D204" s="38"/>
      <x:c r="E204" s="38" t="str">
        <x:f>IFERROR(XLOOKUP(D204,Fixtures!$A$5:$A$204,Fixtures!$M$5:$M$204,""),"")</x:f>
      </x:c>
      <x:c r="F204" s="38" t="str">
        <x:f>IFERROR(XLOOKUP(D204,Fixtures!$A$5:$A$204,Fixtures!$E$5:$E$204,""),"")</x:f>
      </x:c>
      <x:c r="G204" s="38" t="str">
        <x:f>IFERROR(XLOOKUP(D204,Fixtures!$A$5:$A$204,Fixtures!$G$5:$G$204,""),"")</x:f>
      </x:c>
      <x:c r="H204" s="38"/>
      <x:c r="I204" s="38"/>
      <x:c r="J204" s="38"/>
      <x:c r="K204" s="38"/>
      <x:c r="L204" s="60"/>
      <x:c r="M204" s="38"/>
      <x:c r="N204" s="38"/>
      <x:c r="O204" s="38"/>
      <x:c r="P204" s="38"/>
      <x:c r="Q204" s="38"/>
      <x:c r="R204" s="38"/>
      <x:c r="S204" s="38" t="str">
        <x:f>IF(R204="Approved Current","Yes","No")</x:f>
        <x:v>No</x:v>
      </x:c>
      <x:c r="T204" s="38"/>
      <x:c r="U204" s="38"/>
      <x:c r="V204" s="38"/>
      <x:c r="W204" s="38"/>
      <x:c r="X204" s="38" t="str">
        <x:f>IF(D204="","",IF(V204&lt;&gt;"",V204,IF(J204="Walkover",IF(K204=XLOOKUP(D204,Fixtures!$A$5:$A$204,Fixtures!$D$5:$D$204,""),Rules!$C$12,IF(K204=XLOOKUP(D204,Fixtures!$A$5:$A$204,Fixtures!$F$5:$F$204,""),Rules!$C$13,"")),H204)))</x:f>
      </x:c>
      <x:c r="Y204" s="38" t="str">
        <x:f>IF(D204="","",IF(W204&lt;&gt;"",W204,IF(J204="Walkover",IF(K204=XLOOKUP(D204,Fixtures!$A$5:$A$204,Fixtures!$F$5:$F$204,""),Rules!$C$12,IF(K204=XLOOKUP(D204,Fixtures!$A$5:$A$204,Fixtures!$D$5:$D$204,""),Rules!$C$13,"")),I204)))</x:f>
      </x:c>
      <x:c r="Z204" s="38" t="str">
        <x:f>IF(D204="","",IF(AND(R204="Approved Current",OR(J204="Played",J204="Walkover")),"Yes","No"))</x:f>
      </x:c>
      <x:c r="AA204" s="38" t="str">
        <x:f>IF(D204="","",IF(AND(R204="Approved Current",COUNTIFS($D$5:$D$204,D204,$R$5:$R$204,"Approved Current")&gt;1),"Multiple Approved Current",IF(AND(J204="Walkover",K204=""),"Walkover missing winner","OK")))</x:f>
      </x:c>
    </x:row>
  </x:sheetData>
  <x:mergeCells>
    <x:mergeCell ref="A1:H1"/>
    <x:mergeCell ref="A2:H2"/>
  </x:mergeCells>
  <x:dataValidations count="3">
    <x:dataValidation type="list" sqref="C5:C204">
      <x:formula1>"New Result,Correction to Previous Result"</x:formula1>
    </x:dataValidation>
    <x:dataValidation type="list" sqref="J5:J204">
      <x:formula1>"Played,Postponed,Void,Walkover,Abandoned"</x:formula1>
    </x:dataValidation>
    <x:dataValidation type="list" sqref="R5:R204">
      <x:formula1>"Pending Review,Approved Current,Approved Superseded,Rejected,Needs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8c3a0b91c4d89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9" hidden="0" customWidth="1"/>
    <x:col min="2" max="2" width="15" hidden="0" customWidth="1"/>
    <x:col min="3" max="3" width="14.5" hidden="0" customWidth="1"/>
    <x:col min="4" max="4" width="18.75" hidden="0" customWidth="1"/>
    <x:col min="5" max="5" width="14.25" hidden="0" customWidth="1"/>
    <x:col min="6" max="6" width="18.5" hidden="0" customWidth="1"/>
    <x:col min="7" max="7" width="18.8799991607666" hidden="0" customWidth="1"/>
    <x:col min="8" max="8" width="18.6299991607666" hidden="0" customWidth="1"/>
    <x:col min="9" max="9" width="19.5" hidden="0" customWidth="1"/>
    <x:col min="10" max="10" width="23.3799991607666" hidden="0" customWidth="1"/>
    <x:col min="11" max="11" width="19.25" hidden="0" customWidth="1"/>
    <x:col min="12" max="12" width="17.75" hidden="0" customWidth="1"/>
    <x:col min="13" max="13" width="22.8799991607666" hidden="0" customWidth="1"/>
    <x:col min="14" max="14" width="15.880000114440918" hidden="0" customWidth="1"/>
    <x:col min="15" max="15" width="28.75" hidden="0" customWidth="1"/>
  </x:cols>
  <x:sheetData>
    <x:row r="1" ht="15" hidden="0" customHeight="1">
      <x:c r="A1" s="47" t="str">
        <x:v>Official Results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8" t="str">
        <x:v>Formula-derived from Approved Current Result Review rows only.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15" hidden="0" customHeight="1">
      <x:c r="A4" s="39" t="str">
        <x:v>Match ID</x:v>
      </x:c>
      <x:c r="B4" s="40" t="str">
        <x:v>Division/Group</x:v>
      </x:c>
      <x:c r="C4" s="40" t="str">
        <x:v>Home Team ID</x:v>
      </x:c>
      <x:c r="D4" s="40" t="str">
        <x:v>Home Team Display</x:v>
      </x:c>
      <x:c r="E4" s="40" t="str">
        <x:v>Away Team ID</x:v>
      </x:c>
      <x:c r="F4" s="40" t="str">
        <x:v>Away Team Display</x:v>
      </x:c>
      <x:c r="G4" s="40" t="str">
        <x:v>Official Home Score</x:v>
      </x:c>
      <x:c r="H4" s="40" t="str">
        <x:v>Official Away Score</x:v>
      </x:c>
      <x:c r="I4" s="40" t="str">
        <x:v>Official Match Status</x:v>
      </x:c>
      <x:c r="J4" s="40" t="str">
        <x:v>Walkover Winner Team ID</x:v>
      </x:c>
      <x:c r="K4" s="40" t="str">
        <x:v>Counts In Standings</x:v>
      </x:c>
      <x:c r="L4" s="40" t="str">
        <x:v>Match Date Played</x:v>
      </x:c>
      <x:c r="M4" s="40" t="str">
        <x:v>Approved Submission ID</x:v>
      </x:c>
      <x:c r="N4" s="40" t="str">
        <x:v>Approval Status</x:v>
      </x:c>
      <x:c r="O4" s="41" t="str">
        <x:v>Result Source Notes</x:v>
      </x:c>
    </x:row>
    <x:row r="5" ht="15" hidden="0" customHeight="1">
      <x:c r="A5" s="48" t="str">
        <x:f>IF(Fixtures!A5="","",IF(COUNTIFS('Result Review'!$D$5:$D$204,Fixtures!A5,'Result Review'!$R$5:$R$204,"Approved Current")=1,Fixtures!A5,""))</x:f>
        <x:v>M001</x:v>
      </x:c>
      <x:c r="B5" s="38" t="str">
        <x:f>IF($A5="","",XLOOKUP($A5,Fixtures!$A$5:$A$204,Fixtures!$B$5:$B$204,""))</x:f>
        <x:v>Group A</x:v>
      </x:c>
      <x:c r="C5" s="38" t="str">
        <x:f>IF($A5="","",XLOOKUP($A5,Fixtures!$A$5:$A$204,Fixtures!$D$5:$D$204,""))</x:f>
        <x:v>T001</x:v>
      </x:c>
      <x:c r="D5" s="38" t="str">
        <x:f>IF($A5="","",XLOOKUP($A5,Fixtures!$A$5:$A$204,Fixtures!$E$5:$E$204,""))</x:f>
        <x:v>River Park</x:v>
      </x:c>
      <x:c r="E5" s="38" t="str">
        <x:f>IF($A5="","",XLOOKUP($A5,Fixtures!$A$5:$A$204,Fixtures!$F$5:$F$204,""))</x:f>
        <x:v>T002</x:v>
      </x:c>
      <x:c r="F5" s="38" t="str">
        <x:f>IF($A5="","",XLOOKUP($A5,Fixtures!$A$5:$A$204,Fixtures!$G$5:$G$204,""))</x:f>
        <x:v>Lakeside</x:v>
      </x:c>
      <x:c r="G5" s="38" t="str">
        <x:f>IF($A5="","",IFERROR(INDEX(FILTER('Result Review'!$X$5:$X$204,'Result Review'!$D$5:$D$204=$A5,'Result Review'!$R$5:$R$204="Approved Current"),1),""))</x:f>
      </x:c>
      <x:c r="H5" s="38" t="str">
        <x:f>IF($A5="","",IFERROR(INDEX(FILTER('Result Review'!$Y$5:$Y$204,'Result Review'!$D$5:$D$204=$A5,'Result Review'!$R$5:$R$204="Approved Current"),1),""))</x:f>
      </x:c>
      <x:c r="I5" s="38" t="str">
        <x:f>IF($A5="","",IFERROR(INDEX(FILTER('Result Review'!$J$5:$J$204,'Result Review'!$D$5:$D$204=$A5,'Result Review'!$R$5:$R$204="Approved Current"),1),""))</x:f>
      </x:c>
      <x:c r="J5" s="38" t="str">
        <x:f>IF($A5="","",IFERROR(INDEX(FILTER('Result Review'!$K$5:$K$204,'Result Review'!$D$5:$D$204=$A5,'Result Review'!$R$5:$R$204="Approved Current"),1),""))</x:f>
      </x:c>
      <x:c r="K5" s="38" t="str">
        <x:f>IF($A5="","",IFERROR(INDEX(FILTER('Result Review'!$Z$5:$Z$204,'Result Review'!$D$5:$D$204=$A5,'Result Review'!$R$5:$R$204="Approved Current"),1),""))</x:f>
      </x:c>
      <x:c r="L5" s="60" t="str">
        <x:f>IF($A5="","",IFERROR(INDEX(FILTER('Result Review'!$L$5:$L$204,'Result Review'!$D$5:$D$204=$A5,'Result Review'!$R$5:$R$204="Approved Current"),1),""))</x:f>
      </x:c>
      <x:c r="M5" s="38" t="str">
        <x:f>IF($A5="","",IFERROR(INDEX(FILTER('Result Review'!$B$5:$B$204,'Result Review'!$D$5:$D$204=$A5,'Result Review'!$R$5:$R$204="Approved Current"),1),""))</x:f>
      </x:c>
      <x:c r="N5" s="38" t="str">
        <x:f>IF($A5="","","Approved Current")</x:f>
        <x:v>Approved Current</x:v>
      </x:c>
      <x:c r="O5" s="49" t="str">
        <x:f>IF($A5="","","Derived from Result Review row "&amp;M5)</x:f>
        <x:v>Derived from Result Review row </x:v>
      </x:c>
    </x:row>
    <x:row r="6" ht="15" hidden="0" customHeight="1">
      <x:c r="A6" s="48" t="str">
        <x:f>IF(Fixtures!A6="","",IF(COUNTIFS('Result Review'!$D$5:$D$204,Fixtures!A6,'Result Review'!$R$5:$R$204,"Approved Current")=1,Fixtures!A6,""))</x:f>
        <x:v>M002</x:v>
      </x:c>
      <x:c r="B6" s="38" t="str">
        <x:f>IF($A6="","",XLOOKUP($A6,Fixtures!$A$5:$A$204,Fixtures!$B$5:$B$204,""))</x:f>
        <x:v>Group A</x:v>
      </x:c>
      <x:c r="C6" s="38" t="str">
        <x:f>IF($A6="","",XLOOKUP($A6,Fixtures!$A$5:$A$204,Fixtures!$D$5:$D$204,""))</x:f>
        <x:v>T003</x:v>
      </x:c>
      <x:c r="D6" s="38" t="str">
        <x:f>IF($A6="","",XLOOKUP($A6,Fixtures!$A$5:$A$204,Fixtures!$E$5:$E$204,""))</x:f>
        <x:v>Hillview</x:v>
      </x:c>
      <x:c r="E6" s="38" t="str">
        <x:f>IF($A6="","",XLOOKUP($A6,Fixtures!$A$5:$A$204,Fixtures!$F$5:$F$204,""))</x:f>
        <x:v>T004</x:v>
      </x:c>
      <x:c r="F6" s="38" t="str">
        <x:f>IF($A6="","",XLOOKUP($A6,Fixtures!$A$5:$A$204,Fixtures!$G$5:$G$204,""))</x:f>
        <x:v>Central Stars</x:v>
      </x:c>
      <x:c r="G6" s="38" t="str">
        <x:f>IF($A6="","",IFERROR(INDEX(FILTER('Result Review'!$X$5:$X$204,'Result Review'!$D$5:$D$204=$A6,'Result Review'!$R$5:$R$204="Approved Current"),1),""))</x:f>
      </x:c>
      <x:c r="H6" s="38" t="str">
        <x:f>IF($A6="","",IFERROR(INDEX(FILTER('Result Review'!$Y$5:$Y$204,'Result Review'!$D$5:$D$204=$A6,'Result Review'!$R$5:$R$204="Approved Current"),1),""))</x:f>
      </x:c>
      <x:c r="I6" s="38" t="str">
        <x:f>IF($A6="","",IFERROR(INDEX(FILTER('Result Review'!$J$5:$J$204,'Result Review'!$D$5:$D$204=$A6,'Result Review'!$R$5:$R$204="Approved Current"),1),""))</x:f>
      </x:c>
      <x:c r="J6" s="38" t="str">
        <x:f>IF($A6="","",IFERROR(INDEX(FILTER('Result Review'!$K$5:$K$204,'Result Review'!$D$5:$D$204=$A6,'Result Review'!$R$5:$R$204="Approved Current"),1),""))</x:f>
      </x:c>
      <x:c r="K6" s="38" t="str">
        <x:f>IF($A6="","",IFERROR(INDEX(FILTER('Result Review'!$Z$5:$Z$204,'Result Review'!$D$5:$D$204=$A6,'Result Review'!$R$5:$R$204="Approved Current"),1),""))</x:f>
      </x:c>
      <x:c r="L6" s="60" t="str">
        <x:f>IF($A6="","",IFERROR(INDEX(FILTER('Result Review'!$L$5:$L$204,'Result Review'!$D$5:$D$204=$A6,'Result Review'!$R$5:$R$204="Approved Current"),1),""))</x:f>
      </x:c>
      <x:c r="M6" s="38" t="str">
        <x:f>IF($A6="","",IFERROR(INDEX(FILTER('Result Review'!$B$5:$B$204,'Result Review'!$D$5:$D$204=$A6,'Result Review'!$R$5:$R$204="Approved Current"),1),""))</x:f>
      </x:c>
      <x:c r="N6" s="38" t="str">
        <x:f>IF($A6="","","Approved Current")</x:f>
        <x:v>Approved Current</x:v>
      </x:c>
      <x:c r="O6" s="49" t="str">
        <x:f>IF($A6="","","Derived from Result Review row "&amp;M6)</x:f>
        <x:v>Derived from Result Review row </x:v>
      </x:c>
    </x:row>
    <x:row r="7" ht="15" hidden="0" customHeight="1">
      <x:c r="A7" s="48" t="str">
        <x:f>IF(Fixtures!A7="","",IF(COUNTIFS('Result Review'!$D$5:$D$204,Fixtures!A7,'Result Review'!$R$5:$R$204,"Approved Current")=1,Fixtures!A7,""))</x:f>
      </x:c>
      <x:c r="B7" s="38" t="str">
        <x:f>IF($A7="","",XLOOKUP($A7,Fixtures!$A$5:$A$204,Fixtures!$B$5:$B$204,""))</x:f>
      </x:c>
      <x:c r="C7" s="38" t="str">
        <x:f>IF($A7="","",XLOOKUP($A7,Fixtures!$A$5:$A$204,Fixtures!$D$5:$D$204,""))</x:f>
      </x:c>
      <x:c r="D7" s="38" t="str">
        <x:f>IF($A7="","",XLOOKUP($A7,Fixtures!$A$5:$A$204,Fixtures!$E$5:$E$204,""))</x:f>
      </x:c>
      <x:c r="E7" s="38" t="str">
        <x:f>IF($A7="","",XLOOKUP($A7,Fixtures!$A$5:$A$204,Fixtures!$F$5:$F$204,""))</x:f>
      </x:c>
      <x:c r="F7" s="38" t="str">
        <x:f>IF($A7="","",XLOOKUP($A7,Fixtures!$A$5:$A$204,Fixtures!$G$5:$G$204,""))</x:f>
      </x:c>
      <x:c r="G7" s="38" t="str">
        <x:f>IF($A7="","",IFERROR(INDEX(FILTER('Result Review'!$X$5:$X$204,'Result Review'!$D$5:$D$204=$A7,'Result Review'!$R$5:$R$204="Approved Current"),1),""))</x:f>
      </x:c>
      <x:c r="H7" s="38" t="str">
        <x:f>IF($A7="","",IFERROR(INDEX(FILTER('Result Review'!$Y$5:$Y$204,'Result Review'!$D$5:$D$204=$A7,'Result Review'!$R$5:$R$204="Approved Current"),1),""))</x:f>
      </x:c>
      <x:c r="I7" s="38" t="str">
        <x:f>IF($A7="","",IFERROR(INDEX(FILTER('Result Review'!$J$5:$J$204,'Result Review'!$D$5:$D$204=$A7,'Result Review'!$R$5:$R$204="Approved Current"),1),""))</x:f>
      </x:c>
      <x:c r="J7" s="38" t="str">
        <x:f>IF($A7="","",IFERROR(INDEX(FILTER('Result Review'!$K$5:$K$204,'Result Review'!$D$5:$D$204=$A7,'Result Review'!$R$5:$R$204="Approved Current"),1),""))</x:f>
      </x:c>
      <x:c r="K7" s="38" t="str">
        <x:f>IF($A7="","",IFERROR(INDEX(FILTER('Result Review'!$Z$5:$Z$204,'Result Review'!$D$5:$D$204=$A7,'Result Review'!$R$5:$R$204="Approved Current"),1),""))</x:f>
      </x:c>
      <x:c r="L7" s="60" t="str">
        <x:f>IF($A7="","",IFERROR(INDEX(FILTER('Result Review'!$L$5:$L$204,'Result Review'!$D$5:$D$204=$A7,'Result Review'!$R$5:$R$204="Approved Current"),1),""))</x:f>
      </x:c>
      <x:c r="M7" s="38" t="str">
        <x:f>IF($A7="","",IFERROR(INDEX(FILTER('Result Review'!$B$5:$B$204,'Result Review'!$D$5:$D$204=$A7,'Result Review'!$R$5:$R$204="Approved Current"),1),""))</x:f>
      </x:c>
      <x:c r="N7" s="38" t="str">
        <x:f>IF($A7="","","Approved Current")</x:f>
      </x:c>
      <x:c r="O7" s="49" t="str">
        <x:f>IF($A7="","","Derived from Result Review row "&amp;M7)</x:f>
      </x:c>
    </x:row>
    <x:row r="8" ht="15" hidden="0" customHeight="1">
      <x:c r="A8" s="48" t="str">
        <x:f>IF(Fixtures!A8="","",IF(COUNTIFS('Result Review'!$D$5:$D$204,Fixtures!A8,'Result Review'!$R$5:$R$204,"Approved Current")=1,Fixtures!A8,""))</x:f>
        <x:v>M004</x:v>
      </x:c>
      <x:c r="B8" s="38" t="str">
        <x:f>IF($A8="","",XLOOKUP($A8,Fixtures!$A$5:$A$204,Fixtures!$B$5:$B$204,""))</x:f>
        <x:v>Group A</x:v>
      </x:c>
      <x:c r="C8" s="38" t="str">
        <x:f>IF($A8="","",XLOOKUP($A8,Fixtures!$A$5:$A$204,Fixtures!$D$5:$D$204,""))</x:f>
        <x:v>T002</x:v>
      </x:c>
      <x:c r="D8" s="38" t="str">
        <x:f>IF($A8="","",XLOOKUP($A8,Fixtures!$A$5:$A$204,Fixtures!$E$5:$E$204,""))</x:f>
        <x:v>Lakeside</x:v>
      </x:c>
      <x:c r="E8" s="38" t="str">
        <x:f>IF($A8="","",XLOOKUP($A8,Fixtures!$A$5:$A$204,Fixtures!$F$5:$F$204,""))</x:f>
        <x:v>T004</x:v>
      </x:c>
      <x:c r="F8" s="38" t="str">
        <x:f>IF($A8="","",XLOOKUP($A8,Fixtures!$A$5:$A$204,Fixtures!$G$5:$G$204,""))</x:f>
        <x:v>Central Stars</x:v>
      </x:c>
      <x:c r="G8" s="38" t="n">
        <x:f>IF($A8="","",IFERROR(INDEX(FILTER('Result Review'!$X$5:$X$204,'Result Review'!$D$5:$D$204=$A8,'Result Review'!$R$5:$R$204="Approved Current"),1),""))</x:f>
        <x:v>1</x:v>
      </x:c>
      <x:c r="H8" s="38" t="n">
        <x:f>IF($A8="","",IFERROR(INDEX(FILTER('Result Review'!$Y$5:$Y$204,'Result Review'!$D$5:$D$204=$A8,'Result Review'!$R$5:$R$204="Approved Current"),1),""))</x:f>
        <x:v>0</x:v>
      </x:c>
      <x:c r="I8" s="38" t="str">
        <x:f>IF($A8="","",IFERROR(INDEX(FILTER('Result Review'!$J$5:$J$204,'Result Review'!$D$5:$D$204=$A8,'Result Review'!$R$5:$R$204="Approved Current"),1),""))</x:f>
        <x:v>Played</x:v>
      </x:c>
      <x:c r="J8" s="38" t="str">
        <x:f>IF($A8="","",IFERROR(INDEX(FILTER('Result Review'!$K$5:$K$204,'Result Review'!$D$5:$D$204=$A8,'Result Review'!$R$5:$R$204="Approved Current"),1),""))</x:f>
      </x:c>
      <x:c r="K8" s="38" t="str">
        <x:f>IF($A8="","",IFERROR(INDEX(FILTER('Result Review'!$Z$5:$Z$204,'Result Review'!$D$5:$D$204=$A8,'Result Review'!$R$5:$R$204="Approved Current"),1),""))</x:f>
        <x:v>No</x:v>
      </x:c>
      <x:c r="L8" s="60" t="n">
        <x:f>IF($A8="","",IFERROR(INDEX(FILTER('Result Review'!$L$5:$L$204,'Result Review'!$D$5:$D$204=$A8,'Result Review'!$R$5:$R$204="Approved Current"),1),""))</x:f>
        <x:v>46216</x:v>
      </x:c>
      <x:c r="M8" s="38" t="str">
        <x:f>IF($A8="","",IFERROR(INDEX(FILTER('Result Review'!$B$5:$B$204,'Result Review'!$D$5:$D$204=$A8,'Result Review'!$R$5:$R$204="Approved Current"),1),""))</x:f>
        <x:v>S004</x:v>
      </x:c>
      <x:c r="N8" s="38" t="str">
        <x:f>IF($A8="","","Approved Current")</x:f>
        <x:v>Approved Current</x:v>
      </x:c>
      <x:c r="O8" s="49" t="str">
        <x:f>IF($A8="","","Derived from Result Review row "&amp;M8)</x:f>
        <x:v>Derived from Result Review row S004</x:v>
      </x:c>
    </x:row>
    <x:row r="9" ht="15" hidden="0" customHeight="1">
      <x:c r="A9" s="48" t="str">
        <x:f>IF(Fixtures!A9="","",IF(COUNTIFS('Result Review'!$D$5:$D$204,Fixtures!A9,'Result Review'!$R$5:$R$204,"Approved Current")=1,Fixtures!A9,""))</x:f>
        <x:v>M005</x:v>
      </x:c>
      <x:c r="B9" s="38" t="str">
        <x:f>IF($A9="","",XLOOKUP($A9,Fixtures!$A$5:$A$204,Fixtures!$B$5:$B$204,""))</x:f>
        <x:v>Group B</x:v>
      </x:c>
      <x:c r="C9" s="38" t="str">
        <x:f>IF($A9="","",XLOOKUP($A9,Fixtures!$A$5:$A$204,Fixtures!$D$5:$D$204,""))</x:f>
        <x:v>T005</x:v>
      </x:c>
      <x:c r="D9" s="38" t="str">
        <x:f>IF($A9="","",XLOOKUP($A9,Fixtures!$A$5:$A$204,Fixtures!$E$5:$E$204,""))</x:f>
        <x:v>North End</x:v>
      </x:c>
      <x:c r="E9" s="38" t="str">
        <x:f>IF($A9="","",XLOOKUP($A9,Fixtures!$A$5:$A$204,Fixtures!$F$5:$F$204,""))</x:f>
        <x:v>T006</x:v>
      </x:c>
      <x:c r="F9" s="38" t="str">
        <x:f>IF($A9="","",XLOOKUP($A9,Fixtures!$A$5:$A$204,Fixtures!$G$5:$G$204,""))</x:f>
        <x:v>Metro Rangers</x:v>
      </x:c>
      <x:c r="G9" s="38" t="str">
        <x:f>IF($A9="","",IFERROR(INDEX(FILTER('Result Review'!$X$5:$X$204,'Result Review'!$D$5:$D$204=$A9,'Result Review'!$R$5:$R$204="Approved Current"),1),""))</x:f>
      </x:c>
      <x:c r="H9" s="38" t="str">
        <x:f>IF($A9="","",IFERROR(INDEX(FILTER('Result Review'!$Y$5:$Y$204,'Result Review'!$D$5:$D$204=$A9,'Result Review'!$R$5:$R$204="Approved Current"),1),""))</x:f>
      </x:c>
      <x:c r="I9" s="38" t="str">
        <x:f>IF($A9="","",IFERROR(INDEX(FILTER('Result Review'!$J$5:$J$204,'Result Review'!$D$5:$D$204=$A9,'Result Review'!$R$5:$R$204="Approved Current"),1),""))</x:f>
      </x:c>
      <x:c r="J9" s="38" t="str">
        <x:f>IF($A9="","",IFERROR(INDEX(FILTER('Result Review'!$K$5:$K$204,'Result Review'!$D$5:$D$204=$A9,'Result Review'!$R$5:$R$204="Approved Current"),1),""))</x:f>
      </x:c>
      <x:c r="K9" s="38" t="str">
        <x:f>IF($A9="","",IFERROR(INDEX(FILTER('Result Review'!$Z$5:$Z$204,'Result Review'!$D$5:$D$204=$A9,'Result Review'!$R$5:$R$204="Approved Current"),1),""))</x:f>
      </x:c>
      <x:c r="L9" s="60" t="str">
        <x:f>IF($A9="","",IFERROR(INDEX(FILTER('Result Review'!$L$5:$L$204,'Result Review'!$D$5:$D$204=$A9,'Result Review'!$R$5:$R$204="Approved Current"),1),""))</x:f>
      </x:c>
      <x:c r="M9" s="38" t="str">
        <x:f>IF($A9="","",IFERROR(INDEX(FILTER('Result Review'!$B$5:$B$204,'Result Review'!$D$5:$D$204=$A9,'Result Review'!$R$5:$R$204="Approved Current"),1),""))</x:f>
      </x:c>
      <x:c r="N9" s="38" t="str">
        <x:f>IF($A9="","","Approved Current")</x:f>
        <x:v>Approved Current</x:v>
      </x:c>
      <x:c r="O9" s="49" t="str">
        <x:f>IF($A9="","","Derived from Result Review row "&amp;M9)</x:f>
        <x:v>Derived from Result Review row </x:v>
      </x:c>
    </x:row>
    <x:row r="10" ht="15" hidden="0" customHeight="1">
      <x:c r="A10" s="48" t="str">
        <x:f>IF(Fixtures!A10="","",IF(COUNTIFS('Result Review'!$D$5:$D$204,Fixtures!A10,'Result Review'!$R$5:$R$204,"Approved Current")=1,Fixtures!A10,""))</x:f>
        <x:v>M006</x:v>
      </x:c>
      <x:c r="B10" s="38" t="str">
        <x:f>IF($A10="","",XLOOKUP($A10,Fixtures!$A$5:$A$204,Fixtures!$B$5:$B$204,""))</x:f>
        <x:v>Group B</x:v>
      </x:c>
      <x:c r="C10" s="38" t="str">
        <x:f>IF($A10="","",XLOOKUP($A10,Fixtures!$A$5:$A$204,Fixtures!$D$5:$D$204,""))</x:f>
        <x:v>T007</x:v>
      </x:c>
      <x:c r="D10" s="38" t="str">
        <x:f>IF($A10="","",XLOOKUP($A10,Fixtures!$A$5:$A$204,Fixtures!$E$5:$E$204,""))</x:f>
        <x:v>Eastside</x:v>
      </x:c>
      <x:c r="E10" s="38" t="str">
        <x:f>IF($A10="","",XLOOKUP($A10,Fixtures!$A$5:$A$204,Fixtures!$F$5:$F$204,""))</x:f>
        <x:v>T008</x:v>
      </x:c>
      <x:c r="F10" s="38" t="str">
        <x:f>IF($A10="","",XLOOKUP($A10,Fixtures!$A$5:$A$204,Fixtures!$G$5:$G$204,""))</x:f>
        <x:v>Westbrook</x:v>
      </x:c>
      <x:c r="G10" s="38" t="str">
        <x:f>IF($A10="","",IFERROR(INDEX(FILTER('Result Review'!$X$5:$X$204,'Result Review'!$D$5:$D$204=$A10,'Result Review'!$R$5:$R$204="Approved Current"),1),""))</x:f>
      </x:c>
      <x:c r="H10" s="38" t="str">
        <x:f>IF($A10="","",IFERROR(INDEX(FILTER('Result Review'!$Y$5:$Y$204,'Result Review'!$D$5:$D$204=$A10,'Result Review'!$R$5:$R$204="Approved Current"),1),""))</x:f>
      </x:c>
      <x:c r="I10" s="38" t="str">
        <x:f>IF($A10="","",IFERROR(INDEX(FILTER('Result Review'!$J$5:$J$204,'Result Review'!$D$5:$D$204=$A10,'Result Review'!$R$5:$R$204="Approved Current"),1),""))</x:f>
      </x:c>
      <x:c r="J10" s="38" t="str">
        <x:f>IF($A10="","",IFERROR(INDEX(FILTER('Result Review'!$K$5:$K$204,'Result Review'!$D$5:$D$204=$A10,'Result Review'!$R$5:$R$204="Approved Current"),1),""))</x:f>
      </x:c>
      <x:c r="K10" s="38" t="str">
        <x:f>IF($A10="","",IFERROR(INDEX(FILTER('Result Review'!$Z$5:$Z$204,'Result Review'!$D$5:$D$204=$A10,'Result Review'!$R$5:$R$204="Approved Current"),1),""))</x:f>
      </x:c>
      <x:c r="L10" s="60" t="str">
        <x:f>IF($A10="","",IFERROR(INDEX(FILTER('Result Review'!$L$5:$L$204,'Result Review'!$D$5:$D$204=$A10,'Result Review'!$R$5:$R$204="Approved Current"),1),""))</x:f>
      </x:c>
      <x:c r="M10" s="38" t="str">
        <x:f>IF($A10="","",IFERROR(INDEX(FILTER('Result Review'!$B$5:$B$204,'Result Review'!$D$5:$D$204=$A10,'Result Review'!$R$5:$R$204="Approved Current"),1),""))</x:f>
      </x:c>
      <x:c r="N10" s="38" t="str">
        <x:f>IF($A10="","","Approved Current")</x:f>
        <x:v>Approved Current</x:v>
      </x:c>
      <x:c r="O10" s="49" t="str">
        <x:f>IF($A10="","","Derived from Result Review row "&amp;M10)</x:f>
        <x:v>Derived from Result Review row </x:v>
      </x:c>
    </x:row>
    <x:row r="11" ht="15" hidden="0" customHeight="1">
      <x:c r="A11" s="48" t="str">
        <x:f>IF(Fixtures!A11="","",IF(COUNTIFS('Result Review'!$D$5:$D$204,Fixtures!A11,'Result Review'!$R$5:$R$204,"Approved Current")=1,Fixtures!A11,""))</x:f>
      </x:c>
      <x:c r="B11" s="38" t="str">
        <x:f>IF($A11="","",XLOOKUP($A11,Fixtures!$A$5:$A$204,Fixtures!$B$5:$B$204,""))</x:f>
      </x:c>
      <x:c r="C11" s="38" t="str">
        <x:f>IF($A11="","",XLOOKUP($A11,Fixtures!$A$5:$A$204,Fixtures!$D$5:$D$204,""))</x:f>
      </x:c>
      <x:c r="D11" s="38" t="str">
        <x:f>IF($A11="","",XLOOKUP($A11,Fixtures!$A$5:$A$204,Fixtures!$E$5:$E$204,""))</x:f>
      </x:c>
      <x:c r="E11" s="38" t="str">
        <x:f>IF($A11="","",XLOOKUP($A11,Fixtures!$A$5:$A$204,Fixtures!$F$5:$F$204,""))</x:f>
      </x:c>
      <x:c r="F11" s="38" t="str">
        <x:f>IF($A11="","",XLOOKUP($A11,Fixtures!$A$5:$A$204,Fixtures!$G$5:$G$204,""))</x:f>
      </x:c>
      <x:c r="G11" s="38" t="str">
        <x:f>IF($A11="","",IFERROR(INDEX(FILTER('Result Review'!$X$5:$X$204,'Result Review'!$D$5:$D$204=$A11,'Result Review'!$R$5:$R$204="Approved Current"),1),""))</x:f>
      </x:c>
      <x:c r="H11" s="38" t="str">
        <x:f>IF($A11="","",IFERROR(INDEX(FILTER('Result Review'!$Y$5:$Y$204,'Result Review'!$D$5:$D$204=$A11,'Result Review'!$R$5:$R$204="Approved Current"),1),""))</x:f>
      </x:c>
      <x:c r="I11" s="38" t="str">
        <x:f>IF($A11="","",IFERROR(INDEX(FILTER('Result Review'!$J$5:$J$204,'Result Review'!$D$5:$D$204=$A11,'Result Review'!$R$5:$R$204="Approved Current"),1),""))</x:f>
      </x:c>
      <x:c r="J11" s="38" t="str">
        <x:f>IF($A11="","",IFERROR(INDEX(FILTER('Result Review'!$K$5:$K$204,'Result Review'!$D$5:$D$204=$A11,'Result Review'!$R$5:$R$204="Approved Current"),1),""))</x:f>
      </x:c>
      <x:c r="K11" s="38" t="str">
        <x:f>IF($A11="","",IFERROR(INDEX(FILTER('Result Review'!$Z$5:$Z$204,'Result Review'!$D$5:$D$204=$A11,'Result Review'!$R$5:$R$204="Approved Current"),1),""))</x:f>
      </x:c>
      <x:c r="L11" s="60" t="str">
        <x:f>IF($A11="","",IFERROR(INDEX(FILTER('Result Review'!$L$5:$L$204,'Result Review'!$D$5:$D$204=$A11,'Result Review'!$R$5:$R$204="Approved Current"),1),""))</x:f>
      </x:c>
      <x:c r="M11" s="38" t="str">
        <x:f>IF($A11="","",IFERROR(INDEX(FILTER('Result Review'!$B$5:$B$204,'Result Review'!$D$5:$D$204=$A11,'Result Review'!$R$5:$R$204="Approved Current"),1),""))</x:f>
      </x:c>
      <x:c r="N11" s="38" t="str">
        <x:f>IF($A11="","","Approved Current")</x:f>
      </x:c>
      <x:c r="O11" s="49" t="str">
        <x:f>IF($A11="","","Derived from Result Review row "&amp;M11)</x:f>
      </x:c>
    </x:row>
    <x:row r="12" ht="15" hidden="0" customHeight="1">
      <x:c r="A12" s="48" t="str">
        <x:f>IF(Fixtures!A12="","",IF(COUNTIFS('Result Review'!$D$5:$D$204,Fixtures!A12,'Result Review'!$R$5:$R$204,"Approved Current")=1,Fixtures!A12,""))</x:f>
      </x:c>
      <x:c r="B12" s="38" t="str">
        <x:f>IF($A12="","",XLOOKUP($A12,Fixtures!$A$5:$A$204,Fixtures!$B$5:$B$204,""))</x:f>
      </x:c>
      <x:c r="C12" s="38" t="str">
        <x:f>IF($A12="","",XLOOKUP($A12,Fixtures!$A$5:$A$204,Fixtures!$D$5:$D$204,""))</x:f>
      </x:c>
      <x:c r="D12" s="38" t="str">
        <x:f>IF($A12="","",XLOOKUP($A12,Fixtures!$A$5:$A$204,Fixtures!$E$5:$E$204,""))</x:f>
      </x:c>
      <x:c r="E12" s="38" t="str">
        <x:f>IF($A12="","",XLOOKUP($A12,Fixtures!$A$5:$A$204,Fixtures!$F$5:$F$204,""))</x:f>
      </x:c>
      <x:c r="F12" s="38" t="str">
        <x:f>IF($A12="","",XLOOKUP($A12,Fixtures!$A$5:$A$204,Fixtures!$G$5:$G$204,""))</x:f>
      </x:c>
      <x:c r="G12" s="38" t="str">
        <x:f>IF($A12="","",IFERROR(INDEX(FILTER('Result Review'!$X$5:$X$204,'Result Review'!$D$5:$D$204=$A12,'Result Review'!$R$5:$R$204="Approved Current"),1),""))</x:f>
      </x:c>
      <x:c r="H12" s="38" t="str">
        <x:f>IF($A12="","",IFERROR(INDEX(FILTER('Result Review'!$Y$5:$Y$204,'Result Review'!$D$5:$D$204=$A12,'Result Review'!$R$5:$R$204="Approved Current"),1),""))</x:f>
      </x:c>
      <x:c r="I12" s="38" t="str">
        <x:f>IF($A12="","",IFERROR(INDEX(FILTER('Result Review'!$J$5:$J$204,'Result Review'!$D$5:$D$204=$A12,'Result Review'!$R$5:$R$204="Approved Current"),1),""))</x:f>
      </x:c>
      <x:c r="J12" s="38" t="str">
        <x:f>IF($A12="","",IFERROR(INDEX(FILTER('Result Review'!$K$5:$K$204,'Result Review'!$D$5:$D$204=$A12,'Result Review'!$R$5:$R$204="Approved Current"),1),""))</x:f>
      </x:c>
      <x:c r="K12" s="38" t="str">
        <x:f>IF($A12="","",IFERROR(INDEX(FILTER('Result Review'!$Z$5:$Z$204,'Result Review'!$D$5:$D$204=$A12,'Result Review'!$R$5:$R$204="Approved Current"),1),""))</x:f>
      </x:c>
      <x:c r="L12" s="60" t="str">
        <x:f>IF($A12="","",IFERROR(INDEX(FILTER('Result Review'!$L$5:$L$204,'Result Review'!$D$5:$D$204=$A12,'Result Review'!$R$5:$R$204="Approved Current"),1),""))</x:f>
      </x:c>
      <x:c r="M12" s="38" t="str">
        <x:f>IF($A12="","",IFERROR(INDEX(FILTER('Result Review'!$B$5:$B$204,'Result Review'!$D$5:$D$204=$A12,'Result Review'!$R$5:$R$204="Approved Current"),1),""))</x:f>
      </x:c>
      <x:c r="N12" s="38" t="str">
        <x:f>IF($A12="","","Approved Current")</x:f>
      </x:c>
      <x:c r="O12" s="49" t="str">
        <x:f>IF($A12="","","Derived from Result Review row "&amp;M12)</x:f>
      </x:c>
    </x:row>
    <x:row r="13" ht="15" hidden="0" customHeight="1">
      <x:c r="A13" s="48" t="str">
        <x:f>IF(Fixtures!A13="","",IF(COUNTIFS('Result Review'!$D$5:$D$204,Fixtures!A13,'Result Review'!$R$5:$R$204,"Approved Current")=1,Fixtures!A13,""))</x:f>
      </x:c>
      <x:c r="B13" s="38" t="str">
        <x:f>IF($A13="","",XLOOKUP($A13,Fixtures!$A$5:$A$204,Fixtures!$B$5:$B$204,""))</x:f>
      </x:c>
      <x:c r="C13" s="38" t="str">
        <x:f>IF($A13="","",XLOOKUP($A13,Fixtures!$A$5:$A$204,Fixtures!$D$5:$D$204,""))</x:f>
      </x:c>
      <x:c r="D13" s="38" t="str">
        <x:f>IF($A13="","",XLOOKUP($A13,Fixtures!$A$5:$A$204,Fixtures!$E$5:$E$204,""))</x:f>
      </x:c>
      <x:c r="E13" s="38" t="str">
        <x:f>IF($A13="","",XLOOKUP($A13,Fixtures!$A$5:$A$204,Fixtures!$F$5:$F$204,""))</x:f>
      </x:c>
      <x:c r="F13" s="38" t="str">
        <x:f>IF($A13="","",XLOOKUP($A13,Fixtures!$A$5:$A$204,Fixtures!$G$5:$G$204,""))</x:f>
      </x:c>
      <x:c r="G13" s="38" t="str">
        <x:f>IF($A13="","",IFERROR(INDEX(FILTER('Result Review'!$X$5:$X$204,'Result Review'!$D$5:$D$204=$A13,'Result Review'!$R$5:$R$204="Approved Current"),1),""))</x:f>
      </x:c>
      <x:c r="H13" s="38" t="str">
        <x:f>IF($A13="","",IFERROR(INDEX(FILTER('Result Review'!$Y$5:$Y$204,'Result Review'!$D$5:$D$204=$A13,'Result Review'!$R$5:$R$204="Approved Current"),1),""))</x:f>
      </x:c>
      <x:c r="I13" s="38" t="str">
        <x:f>IF($A13="","",IFERROR(INDEX(FILTER('Result Review'!$J$5:$J$204,'Result Review'!$D$5:$D$204=$A13,'Result Review'!$R$5:$R$204="Approved Current"),1),""))</x:f>
      </x:c>
      <x:c r="J13" s="38" t="str">
        <x:f>IF($A13="","",IFERROR(INDEX(FILTER('Result Review'!$K$5:$K$204,'Result Review'!$D$5:$D$204=$A13,'Result Review'!$R$5:$R$204="Approved Current"),1),""))</x:f>
      </x:c>
      <x:c r="K13" s="38" t="str">
        <x:f>IF($A13="","",IFERROR(INDEX(FILTER('Result Review'!$Z$5:$Z$204,'Result Review'!$D$5:$D$204=$A13,'Result Review'!$R$5:$R$204="Approved Current"),1),""))</x:f>
      </x:c>
      <x:c r="L13" s="60" t="str">
        <x:f>IF($A13="","",IFERROR(INDEX(FILTER('Result Review'!$L$5:$L$204,'Result Review'!$D$5:$D$204=$A13,'Result Review'!$R$5:$R$204="Approved Current"),1),""))</x:f>
      </x:c>
      <x:c r="M13" s="38" t="str">
        <x:f>IF($A13="","",IFERROR(INDEX(FILTER('Result Review'!$B$5:$B$204,'Result Review'!$D$5:$D$204=$A13,'Result Review'!$R$5:$R$204="Approved Current"),1),""))</x:f>
      </x:c>
      <x:c r="N13" s="38" t="str">
        <x:f>IF($A13="","","Approved Current")</x:f>
      </x:c>
      <x:c r="O13" s="49" t="str">
        <x:f>IF($A13="","","Derived from Result Review row "&amp;M13)</x:f>
      </x:c>
    </x:row>
    <x:row r="14" ht="15" hidden="0" customHeight="1">
      <x:c r="A14" s="48" t="str">
        <x:f>IF(Fixtures!A14="","",IF(COUNTIFS('Result Review'!$D$5:$D$204,Fixtures!A14,'Result Review'!$R$5:$R$204,"Approved Current")=1,Fixtures!A14,""))</x:f>
      </x:c>
      <x:c r="B14" s="38" t="str">
        <x:f>IF($A14="","",XLOOKUP($A14,Fixtures!$A$5:$A$204,Fixtures!$B$5:$B$204,""))</x:f>
      </x:c>
      <x:c r="C14" s="38" t="str">
        <x:f>IF($A14="","",XLOOKUP($A14,Fixtures!$A$5:$A$204,Fixtures!$D$5:$D$204,""))</x:f>
      </x:c>
      <x:c r="D14" s="38" t="str">
        <x:f>IF($A14="","",XLOOKUP($A14,Fixtures!$A$5:$A$204,Fixtures!$E$5:$E$204,""))</x:f>
      </x:c>
      <x:c r="E14" s="38" t="str">
        <x:f>IF($A14="","",XLOOKUP($A14,Fixtures!$A$5:$A$204,Fixtures!$F$5:$F$204,""))</x:f>
      </x:c>
      <x:c r="F14" s="38" t="str">
        <x:f>IF($A14="","",XLOOKUP($A14,Fixtures!$A$5:$A$204,Fixtures!$G$5:$G$204,""))</x:f>
      </x:c>
      <x:c r="G14" s="38" t="str">
        <x:f>IF($A14="","",IFERROR(INDEX(FILTER('Result Review'!$X$5:$X$204,'Result Review'!$D$5:$D$204=$A14,'Result Review'!$R$5:$R$204="Approved Current"),1),""))</x:f>
      </x:c>
      <x:c r="H14" s="38" t="str">
        <x:f>IF($A14="","",IFERROR(INDEX(FILTER('Result Review'!$Y$5:$Y$204,'Result Review'!$D$5:$D$204=$A14,'Result Review'!$R$5:$R$204="Approved Current"),1),""))</x:f>
      </x:c>
      <x:c r="I14" s="38" t="str">
        <x:f>IF($A14="","",IFERROR(INDEX(FILTER('Result Review'!$J$5:$J$204,'Result Review'!$D$5:$D$204=$A14,'Result Review'!$R$5:$R$204="Approved Current"),1),""))</x:f>
      </x:c>
      <x:c r="J14" s="38" t="str">
        <x:f>IF($A14="","",IFERROR(INDEX(FILTER('Result Review'!$K$5:$K$204,'Result Review'!$D$5:$D$204=$A14,'Result Review'!$R$5:$R$204="Approved Current"),1),""))</x:f>
      </x:c>
      <x:c r="K14" s="38" t="str">
        <x:f>IF($A14="","",IFERROR(INDEX(FILTER('Result Review'!$Z$5:$Z$204,'Result Review'!$D$5:$D$204=$A14,'Result Review'!$R$5:$R$204="Approved Current"),1),""))</x:f>
      </x:c>
      <x:c r="L14" s="60" t="str">
        <x:f>IF($A14="","",IFERROR(INDEX(FILTER('Result Review'!$L$5:$L$204,'Result Review'!$D$5:$D$204=$A14,'Result Review'!$R$5:$R$204="Approved Current"),1),""))</x:f>
      </x:c>
      <x:c r="M14" s="38" t="str">
        <x:f>IF($A14="","",IFERROR(INDEX(FILTER('Result Review'!$B$5:$B$204,'Result Review'!$D$5:$D$204=$A14,'Result Review'!$R$5:$R$204="Approved Current"),1),""))</x:f>
      </x:c>
      <x:c r="N14" s="38" t="str">
        <x:f>IF($A14="","","Approved Current")</x:f>
      </x:c>
      <x:c r="O14" s="49" t="str">
        <x:f>IF($A14="","","Derived from Result Review row "&amp;M14)</x:f>
      </x:c>
    </x:row>
    <x:row r="15" ht="15" hidden="0" customHeight="1">
      <x:c r="A15" s="48" t="str">
        <x:f>IF(Fixtures!A15="","",IF(COUNTIFS('Result Review'!$D$5:$D$204,Fixtures!A15,'Result Review'!$R$5:$R$204,"Approved Current")=1,Fixtures!A15,""))</x:f>
      </x:c>
      <x:c r="B15" s="38" t="str">
        <x:f>IF($A15="","",XLOOKUP($A15,Fixtures!$A$5:$A$204,Fixtures!$B$5:$B$204,""))</x:f>
      </x:c>
      <x:c r="C15" s="38" t="str">
        <x:f>IF($A15="","",XLOOKUP($A15,Fixtures!$A$5:$A$204,Fixtures!$D$5:$D$204,""))</x:f>
      </x:c>
      <x:c r="D15" s="38" t="str">
        <x:f>IF($A15="","",XLOOKUP($A15,Fixtures!$A$5:$A$204,Fixtures!$E$5:$E$204,""))</x:f>
      </x:c>
      <x:c r="E15" s="38" t="str">
        <x:f>IF($A15="","",XLOOKUP($A15,Fixtures!$A$5:$A$204,Fixtures!$F$5:$F$204,""))</x:f>
      </x:c>
      <x:c r="F15" s="38" t="str">
        <x:f>IF($A15="","",XLOOKUP($A15,Fixtures!$A$5:$A$204,Fixtures!$G$5:$G$204,""))</x:f>
      </x:c>
      <x:c r="G15" s="38" t="str">
        <x:f>IF($A15="","",IFERROR(INDEX(FILTER('Result Review'!$X$5:$X$204,'Result Review'!$D$5:$D$204=$A15,'Result Review'!$R$5:$R$204="Approved Current"),1),""))</x:f>
      </x:c>
      <x:c r="H15" s="38" t="str">
        <x:f>IF($A15="","",IFERROR(INDEX(FILTER('Result Review'!$Y$5:$Y$204,'Result Review'!$D$5:$D$204=$A15,'Result Review'!$R$5:$R$204="Approved Current"),1),""))</x:f>
      </x:c>
      <x:c r="I15" s="38" t="str">
        <x:f>IF($A15="","",IFERROR(INDEX(FILTER('Result Review'!$J$5:$J$204,'Result Review'!$D$5:$D$204=$A15,'Result Review'!$R$5:$R$204="Approved Current"),1),""))</x:f>
      </x:c>
      <x:c r="J15" s="38" t="str">
        <x:f>IF($A15="","",IFERROR(INDEX(FILTER('Result Review'!$K$5:$K$204,'Result Review'!$D$5:$D$204=$A15,'Result Review'!$R$5:$R$204="Approved Current"),1),""))</x:f>
      </x:c>
      <x:c r="K15" s="38" t="str">
        <x:f>IF($A15="","",IFERROR(INDEX(FILTER('Result Review'!$Z$5:$Z$204,'Result Review'!$D$5:$D$204=$A15,'Result Review'!$R$5:$R$204="Approved Current"),1),""))</x:f>
      </x:c>
      <x:c r="L15" s="60" t="str">
        <x:f>IF($A15="","",IFERROR(INDEX(FILTER('Result Review'!$L$5:$L$204,'Result Review'!$D$5:$D$204=$A15,'Result Review'!$R$5:$R$204="Approved Current"),1),""))</x:f>
      </x:c>
      <x:c r="M15" s="38" t="str">
        <x:f>IF($A15="","",IFERROR(INDEX(FILTER('Result Review'!$B$5:$B$204,'Result Review'!$D$5:$D$204=$A15,'Result Review'!$R$5:$R$204="Approved Current"),1),""))</x:f>
      </x:c>
      <x:c r="N15" s="38" t="str">
        <x:f>IF($A15="","","Approved Current")</x:f>
      </x:c>
      <x:c r="O15" s="49" t="str">
        <x:f>IF($A15="","","Derived from Result Review row "&amp;M15)</x:f>
      </x:c>
    </x:row>
    <x:row r="16" ht="15" hidden="0" customHeight="1">
      <x:c r="A16" s="48" t="str">
        <x:f>IF(Fixtures!A16="","",IF(COUNTIFS('Result Review'!$D$5:$D$204,Fixtures!A16,'Result Review'!$R$5:$R$204,"Approved Current")=1,Fixtures!A16,""))</x:f>
      </x:c>
      <x:c r="B16" s="38" t="str">
        <x:f>IF($A16="","",XLOOKUP($A16,Fixtures!$A$5:$A$204,Fixtures!$B$5:$B$204,""))</x:f>
      </x:c>
      <x:c r="C16" s="38" t="str">
        <x:f>IF($A16="","",XLOOKUP($A16,Fixtures!$A$5:$A$204,Fixtures!$D$5:$D$204,""))</x:f>
      </x:c>
      <x:c r="D16" s="38" t="str">
        <x:f>IF($A16="","",XLOOKUP($A16,Fixtures!$A$5:$A$204,Fixtures!$E$5:$E$204,""))</x:f>
      </x:c>
      <x:c r="E16" s="38" t="str">
        <x:f>IF($A16="","",XLOOKUP($A16,Fixtures!$A$5:$A$204,Fixtures!$F$5:$F$204,""))</x:f>
      </x:c>
      <x:c r="F16" s="38" t="str">
        <x:f>IF($A16="","",XLOOKUP($A16,Fixtures!$A$5:$A$204,Fixtures!$G$5:$G$204,""))</x:f>
      </x:c>
      <x:c r="G16" s="38" t="str">
        <x:f>IF($A16="","",IFERROR(INDEX(FILTER('Result Review'!$X$5:$X$204,'Result Review'!$D$5:$D$204=$A16,'Result Review'!$R$5:$R$204="Approved Current"),1),""))</x:f>
      </x:c>
      <x:c r="H16" s="38" t="str">
        <x:f>IF($A16="","",IFERROR(INDEX(FILTER('Result Review'!$Y$5:$Y$204,'Result Review'!$D$5:$D$204=$A16,'Result Review'!$R$5:$R$204="Approved Current"),1),""))</x:f>
      </x:c>
      <x:c r="I16" s="38" t="str">
        <x:f>IF($A16="","",IFERROR(INDEX(FILTER('Result Review'!$J$5:$J$204,'Result Review'!$D$5:$D$204=$A16,'Result Review'!$R$5:$R$204="Approved Current"),1),""))</x:f>
      </x:c>
      <x:c r="J16" s="38" t="str">
        <x:f>IF($A16="","",IFERROR(INDEX(FILTER('Result Review'!$K$5:$K$204,'Result Review'!$D$5:$D$204=$A16,'Result Review'!$R$5:$R$204="Approved Current"),1),""))</x:f>
      </x:c>
      <x:c r="K16" s="38" t="str">
        <x:f>IF($A16="","",IFERROR(INDEX(FILTER('Result Review'!$Z$5:$Z$204,'Result Review'!$D$5:$D$204=$A16,'Result Review'!$R$5:$R$204="Approved Current"),1),""))</x:f>
      </x:c>
      <x:c r="L16" s="60" t="str">
        <x:f>IF($A16="","",IFERROR(INDEX(FILTER('Result Review'!$L$5:$L$204,'Result Review'!$D$5:$D$204=$A16,'Result Review'!$R$5:$R$204="Approved Current"),1),""))</x:f>
      </x:c>
      <x:c r="M16" s="38" t="str">
        <x:f>IF($A16="","",IFERROR(INDEX(FILTER('Result Review'!$B$5:$B$204,'Result Review'!$D$5:$D$204=$A16,'Result Review'!$R$5:$R$204="Approved Current"),1),""))</x:f>
      </x:c>
      <x:c r="N16" s="38" t="str">
        <x:f>IF($A16="","","Approved Current")</x:f>
      </x:c>
      <x:c r="O16" s="49" t="str">
        <x:f>IF($A16="","","Derived from Result Review row "&amp;M16)</x:f>
      </x:c>
    </x:row>
    <x:row r="17" ht="15" hidden="0" customHeight="1">
      <x:c r="A17" s="48" t="str">
        <x:f>IF(Fixtures!A17="","",IF(COUNTIFS('Result Review'!$D$5:$D$204,Fixtures!A17,'Result Review'!$R$5:$R$204,"Approved Current")=1,Fixtures!A17,""))</x:f>
      </x:c>
      <x:c r="B17" s="38" t="str">
        <x:f>IF($A17="","",XLOOKUP($A17,Fixtures!$A$5:$A$204,Fixtures!$B$5:$B$204,""))</x:f>
      </x:c>
      <x:c r="C17" s="38" t="str">
        <x:f>IF($A17="","",XLOOKUP($A17,Fixtures!$A$5:$A$204,Fixtures!$D$5:$D$204,""))</x:f>
      </x:c>
      <x:c r="D17" s="38" t="str">
        <x:f>IF($A17="","",XLOOKUP($A17,Fixtures!$A$5:$A$204,Fixtures!$E$5:$E$204,""))</x:f>
      </x:c>
      <x:c r="E17" s="38" t="str">
        <x:f>IF($A17="","",XLOOKUP($A17,Fixtures!$A$5:$A$204,Fixtures!$F$5:$F$204,""))</x:f>
      </x:c>
      <x:c r="F17" s="38" t="str">
        <x:f>IF($A17="","",XLOOKUP($A17,Fixtures!$A$5:$A$204,Fixtures!$G$5:$G$204,""))</x:f>
      </x:c>
      <x:c r="G17" s="38" t="str">
        <x:f>IF($A17="","",IFERROR(INDEX(FILTER('Result Review'!$X$5:$X$204,'Result Review'!$D$5:$D$204=$A17,'Result Review'!$R$5:$R$204="Approved Current"),1),""))</x:f>
      </x:c>
      <x:c r="H17" s="38" t="str">
        <x:f>IF($A17="","",IFERROR(INDEX(FILTER('Result Review'!$Y$5:$Y$204,'Result Review'!$D$5:$D$204=$A17,'Result Review'!$R$5:$R$204="Approved Current"),1),""))</x:f>
      </x:c>
      <x:c r="I17" s="38" t="str">
        <x:f>IF($A17="","",IFERROR(INDEX(FILTER('Result Review'!$J$5:$J$204,'Result Review'!$D$5:$D$204=$A17,'Result Review'!$R$5:$R$204="Approved Current"),1),""))</x:f>
      </x:c>
      <x:c r="J17" s="38" t="str">
        <x:f>IF($A17="","",IFERROR(INDEX(FILTER('Result Review'!$K$5:$K$204,'Result Review'!$D$5:$D$204=$A17,'Result Review'!$R$5:$R$204="Approved Current"),1),""))</x:f>
      </x:c>
      <x:c r="K17" s="38" t="str">
        <x:f>IF($A17="","",IFERROR(INDEX(FILTER('Result Review'!$Z$5:$Z$204,'Result Review'!$D$5:$D$204=$A17,'Result Review'!$R$5:$R$204="Approved Current"),1),""))</x:f>
      </x:c>
      <x:c r="L17" s="60" t="str">
        <x:f>IF($A17="","",IFERROR(INDEX(FILTER('Result Review'!$L$5:$L$204,'Result Review'!$D$5:$D$204=$A17,'Result Review'!$R$5:$R$204="Approved Current"),1),""))</x:f>
      </x:c>
      <x:c r="M17" s="38" t="str">
        <x:f>IF($A17="","",IFERROR(INDEX(FILTER('Result Review'!$B$5:$B$204,'Result Review'!$D$5:$D$204=$A17,'Result Review'!$R$5:$R$204="Approved Current"),1),""))</x:f>
      </x:c>
      <x:c r="N17" s="38" t="str">
        <x:f>IF($A17="","","Approved Current")</x:f>
      </x:c>
      <x:c r="O17" s="49" t="str">
        <x:f>IF($A17="","","Derived from Result Review row "&amp;M17)</x:f>
      </x:c>
    </x:row>
    <x:row r="18" ht="15" hidden="0" customHeight="1">
      <x:c r="A18" s="48" t="str">
        <x:f>IF(Fixtures!A18="","",IF(COUNTIFS('Result Review'!$D$5:$D$204,Fixtures!A18,'Result Review'!$R$5:$R$204,"Approved Current")=1,Fixtures!A18,""))</x:f>
      </x:c>
      <x:c r="B18" s="38" t="str">
        <x:f>IF($A18="","",XLOOKUP($A18,Fixtures!$A$5:$A$204,Fixtures!$B$5:$B$204,""))</x:f>
      </x:c>
      <x:c r="C18" s="38" t="str">
        <x:f>IF($A18="","",XLOOKUP($A18,Fixtures!$A$5:$A$204,Fixtures!$D$5:$D$204,""))</x:f>
      </x:c>
      <x:c r="D18" s="38" t="str">
        <x:f>IF($A18="","",XLOOKUP($A18,Fixtures!$A$5:$A$204,Fixtures!$E$5:$E$204,""))</x:f>
      </x:c>
      <x:c r="E18" s="38" t="str">
        <x:f>IF($A18="","",XLOOKUP($A18,Fixtures!$A$5:$A$204,Fixtures!$F$5:$F$204,""))</x:f>
      </x:c>
      <x:c r="F18" s="38" t="str">
        <x:f>IF($A18="","",XLOOKUP($A18,Fixtures!$A$5:$A$204,Fixtures!$G$5:$G$204,""))</x:f>
      </x:c>
      <x:c r="G18" s="38" t="str">
        <x:f>IF($A18="","",IFERROR(INDEX(FILTER('Result Review'!$X$5:$X$204,'Result Review'!$D$5:$D$204=$A18,'Result Review'!$R$5:$R$204="Approved Current"),1),""))</x:f>
      </x:c>
      <x:c r="H18" s="38" t="str">
        <x:f>IF($A18="","",IFERROR(INDEX(FILTER('Result Review'!$Y$5:$Y$204,'Result Review'!$D$5:$D$204=$A18,'Result Review'!$R$5:$R$204="Approved Current"),1),""))</x:f>
      </x:c>
      <x:c r="I18" s="38" t="str">
        <x:f>IF($A18="","",IFERROR(INDEX(FILTER('Result Review'!$J$5:$J$204,'Result Review'!$D$5:$D$204=$A18,'Result Review'!$R$5:$R$204="Approved Current"),1),""))</x:f>
      </x:c>
      <x:c r="J18" s="38" t="str">
        <x:f>IF($A18="","",IFERROR(INDEX(FILTER('Result Review'!$K$5:$K$204,'Result Review'!$D$5:$D$204=$A18,'Result Review'!$R$5:$R$204="Approved Current"),1),""))</x:f>
      </x:c>
      <x:c r="K18" s="38" t="str">
        <x:f>IF($A18="","",IFERROR(INDEX(FILTER('Result Review'!$Z$5:$Z$204,'Result Review'!$D$5:$D$204=$A18,'Result Review'!$R$5:$R$204="Approved Current"),1),""))</x:f>
      </x:c>
      <x:c r="L18" s="60" t="str">
        <x:f>IF($A18="","",IFERROR(INDEX(FILTER('Result Review'!$L$5:$L$204,'Result Review'!$D$5:$D$204=$A18,'Result Review'!$R$5:$R$204="Approved Current"),1),""))</x:f>
      </x:c>
      <x:c r="M18" s="38" t="str">
        <x:f>IF($A18="","",IFERROR(INDEX(FILTER('Result Review'!$B$5:$B$204,'Result Review'!$D$5:$D$204=$A18,'Result Review'!$R$5:$R$204="Approved Current"),1),""))</x:f>
      </x:c>
      <x:c r="N18" s="38" t="str">
        <x:f>IF($A18="","","Approved Current")</x:f>
      </x:c>
      <x:c r="O18" s="49" t="str">
        <x:f>IF($A18="","","Derived from Result Review row "&amp;M18)</x:f>
      </x:c>
    </x:row>
    <x:row r="19" ht="15" hidden="0" customHeight="1">
      <x:c r="A19" s="48" t="str">
        <x:f>IF(Fixtures!A19="","",IF(COUNTIFS('Result Review'!$D$5:$D$204,Fixtures!A19,'Result Review'!$R$5:$R$204,"Approved Current")=1,Fixtures!A19,""))</x:f>
      </x:c>
      <x:c r="B19" s="38" t="str">
        <x:f>IF($A19="","",XLOOKUP($A19,Fixtures!$A$5:$A$204,Fixtures!$B$5:$B$204,""))</x:f>
      </x:c>
      <x:c r="C19" s="38" t="str">
        <x:f>IF($A19="","",XLOOKUP($A19,Fixtures!$A$5:$A$204,Fixtures!$D$5:$D$204,""))</x:f>
      </x:c>
      <x:c r="D19" s="38" t="str">
        <x:f>IF($A19="","",XLOOKUP($A19,Fixtures!$A$5:$A$204,Fixtures!$E$5:$E$204,""))</x:f>
      </x:c>
      <x:c r="E19" s="38" t="str">
        <x:f>IF($A19="","",XLOOKUP($A19,Fixtures!$A$5:$A$204,Fixtures!$F$5:$F$204,""))</x:f>
      </x:c>
      <x:c r="F19" s="38" t="str">
        <x:f>IF($A19="","",XLOOKUP($A19,Fixtures!$A$5:$A$204,Fixtures!$G$5:$G$204,""))</x:f>
      </x:c>
      <x:c r="G19" s="38" t="str">
        <x:f>IF($A19="","",IFERROR(INDEX(FILTER('Result Review'!$X$5:$X$204,'Result Review'!$D$5:$D$204=$A19,'Result Review'!$R$5:$R$204="Approved Current"),1),""))</x:f>
      </x:c>
      <x:c r="H19" s="38" t="str">
        <x:f>IF($A19="","",IFERROR(INDEX(FILTER('Result Review'!$Y$5:$Y$204,'Result Review'!$D$5:$D$204=$A19,'Result Review'!$R$5:$R$204="Approved Current"),1),""))</x:f>
      </x:c>
      <x:c r="I19" s="38" t="str">
        <x:f>IF($A19="","",IFERROR(INDEX(FILTER('Result Review'!$J$5:$J$204,'Result Review'!$D$5:$D$204=$A19,'Result Review'!$R$5:$R$204="Approved Current"),1),""))</x:f>
      </x:c>
      <x:c r="J19" s="38" t="str">
        <x:f>IF($A19="","",IFERROR(INDEX(FILTER('Result Review'!$K$5:$K$204,'Result Review'!$D$5:$D$204=$A19,'Result Review'!$R$5:$R$204="Approved Current"),1),""))</x:f>
      </x:c>
      <x:c r="K19" s="38" t="str">
        <x:f>IF($A19="","",IFERROR(INDEX(FILTER('Result Review'!$Z$5:$Z$204,'Result Review'!$D$5:$D$204=$A19,'Result Review'!$R$5:$R$204="Approved Current"),1),""))</x:f>
      </x:c>
      <x:c r="L19" s="60" t="str">
        <x:f>IF($A19="","",IFERROR(INDEX(FILTER('Result Review'!$L$5:$L$204,'Result Review'!$D$5:$D$204=$A19,'Result Review'!$R$5:$R$204="Approved Current"),1),""))</x:f>
      </x:c>
      <x:c r="M19" s="38" t="str">
        <x:f>IF($A19="","",IFERROR(INDEX(FILTER('Result Review'!$B$5:$B$204,'Result Review'!$D$5:$D$204=$A19,'Result Review'!$R$5:$R$204="Approved Current"),1),""))</x:f>
      </x:c>
      <x:c r="N19" s="38" t="str">
        <x:f>IF($A19="","","Approved Current")</x:f>
      </x:c>
      <x:c r="O19" s="49" t="str">
        <x:f>IF($A19="","","Derived from Result Review row "&amp;M19)</x:f>
      </x:c>
    </x:row>
    <x:row r="20" ht="15" hidden="0" customHeight="1">
      <x:c r="A20" s="48" t="str">
        <x:f>IF(Fixtures!A20="","",IF(COUNTIFS('Result Review'!$D$5:$D$204,Fixtures!A20,'Result Review'!$R$5:$R$204,"Approved Current")=1,Fixtures!A20,""))</x:f>
      </x:c>
      <x:c r="B20" s="38" t="str">
        <x:f>IF($A20="","",XLOOKUP($A20,Fixtures!$A$5:$A$204,Fixtures!$B$5:$B$204,""))</x:f>
      </x:c>
      <x:c r="C20" s="38" t="str">
        <x:f>IF($A20="","",XLOOKUP($A20,Fixtures!$A$5:$A$204,Fixtures!$D$5:$D$204,""))</x:f>
      </x:c>
      <x:c r="D20" s="38" t="str">
        <x:f>IF($A20="","",XLOOKUP($A20,Fixtures!$A$5:$A$204,Fixtures!$E$5:$E$204,""))</x:f>
      </x:c>
      <x:c r="E20" s="38" t="str">
        <x:f>IF($A20="","",XLOOKUP($A20,Fixtures!$A$5:$A$204,Fixtures!$F$5:$F$204,""))</x:f>
      </x:c>
      <x:c r="F20" s="38" t="str">
        <x:f>IF($A20="","",XLOOKUP($A20,Fixtures!$A$5:$A$204,Fixtures!$G$5:$G$204,""))</x:f>
      </x:c>
      <x:c r="G20" s="38" t="str">
        <x:f>IF($A20="","",IFERROR(INDEX(FILTER('Result Review'!$X$5:$X$204,'Result Review'!$D$5:$D$204=$A20,'Result Review'!$R$5:$R$204="Approved Current"),1),""))</x:f>
      </x:c>
      <x:c r="H20" s="38" t="str">
        <x:f>IF($A20="","",IFERROR(INDEX(FILTER('Result Review'!$Y$5:$Y$204,'Result Review'!$D$5:$D$204=$A20,'Result Review'!$R$5:$R$204="Approved Current"),1),""))</x:f>
      </x:c>
      <x:c r="I20" s="38" t="str">
        <x:f>IF($A20="","",IFERROR(INDEX(FILTER('Result Review'!$J$5:$J$204,'Result Review'!$D$5:$D$204=$A20,'Result Review'!$R$5:$R$204="Approved Current"),1),""))</x:f>
      </x:c>
      <x:c r="J20" s="38" t="str">
        <x:f>IF($A20="","",IFERROR(INDEX(FILTER('Result Review'!$K$5:$K$204,'Result Review'!$D$5:$D$204=$A20,'Result Review'!$R$5:$R$204="Approved Current"),1),""))</x:f>
      </x:c>
      <x:c r="K20" s="38" t="str">
        <x:f>IF($A20="","",IFERROR(INDEX(FILTER('Result Review'!$Z$5:$Z$204,'Result Review'!$D$5:$D$204=$A20,'Result Review'!$R$5:$R$204="Approved Current"),1),""))</x:f>
      </x:c>
      <x:c r="L20" s="60" t="str">
        <x:f>IF($A20="","",IFERROR(INDEX(FILTER('Result Review'!$L$5:$L$204,'Result Review'!$D$5:$D$204=$A20,'Result Review'!$R$5:$R$204="Approved Current"),1),""))</x:f>
      </x:c>
      <x:c r="M20" s="38" t="str">
        <x:f>IF($A20="","",IFERROR(INDEX(FILTER('Result Review'!$B$5:$B$204,'Result Review'!$D$5:$D$204=$A20,'Result Review'!$R$5:$R$204="Approved Current"),1),""))</x:f>
      </x:c>
      <x:c r="N20" s="38" t="str">
        <x:f>IF($A20="","","Approved Current")</x:f>
      </x:c>
      <x:c r="O20" s="49" t="str">
        <x:f>IF($A20="","","Derived from Result Review row "&amp;M20)</x:f>
      </x:c>
    </x:row>
    <x:row r="21" ht="15" hidden="0" customHeight="1">
      <x:c r="A21" s="48" t="str">
        <x:f>IF(Fixtures!A21="","",IF(COUNTIFS('Result Review'!$D$5:$D$204,Fixtures!A21,'Result Review'!$R$5:$R$204,"Approved Current")=1,Fixtures!A21,""))</x:f>
      </x:c>
      <x:c r="B21" s="38" t="str">
        <x:f>IF($A21="","",XLOOKUP($A21,Fixtures!$A$5:$A$204,Fixtures!$B$5:$B$204,""))</x:f>
      </x:c>
      <x:c r="C21" s="38" t="str">
        <x:f>IF($A21="","",XLOOKUP($A21,Fixtures!$A$5:$A$204,Fixtures!$D$5:$D$204,""))</x:f>
      </x:c>
      <x:c r="D21" s="38" t="str">
        <x:f>IF($A21="","",XLOOKUP($A21,Fixtures!$A$5:$A$204,Fixtures!$E$5:$E$204,""))</x:f>
      </x:c>
      <x:c r="E21" s="38" t="str">
        <x:f>IF($A21="","",XLOOKUP($A21,Fixtures!$A$5:$A$204,Fixtures!$F$5:$F$204,""))</x:f>
      </x:c>
      <x:c r="F21" s="38" t="str">
        <x:f>IF($A21="","",XLOOKUP($A21,Fixtures!$A$5:$A$204,Fixtures!$G$5:$G$204,""))</x:f>
      </x:c>
      <x:c r="G21" s="38" t="str">
        <x:f>IF($A21="","",IFERROR(INDEX(FILTER('Result Review'!$X$5:$X$204,'Result Review'!$D$5:$D$204=$A21,'Result Review'!$R$5:$R$204="Approved Current"),1),""))</x:f>
      </x:c>
      <x:c r="H21" s="38" t="str">
        <x:f>IF($A21="","",IFERROR(INDEX(FILTER('Result Review'!$Y$5:$Y$204,'Result Review'!$D$5:$D$204=$A21,'Result Review'!$R$5:$R$204="Approved Current"),1),""))</x:f>
      </x:c>
      <x:c r="I21" s="38" t="str">
        <x:f>IF($A21="","",IFERROR(INDEX(FILTER('Result Review'!$J$5:$J$204,'Result Review'!$D$5:$D$204=$A21,'Result Review'!$R$5:$R$204="Approved Current"),1),""))</x:f>
      </x:c>
      <x:c r="J21" s="38" t="str">
        <x:f>IF($A21="","",IFERROR(INDEX(FILTER('Result Review'!$K$5:$K$204,'Result Review'!$D$5:$D$204=$A21,'Result Review'!$R$5:$R$204="Approved Current"),1),""))</x:f>
      </x:c>
      <x:c r="K21" s="38" t="str">
        <x:f>IF($A21="","",IFERROR(INDEX(FILTER('Result Review'!$Z$5:$Z$204,'Result Review'!$D$5:$D$204=$A21,'Result Review'!$R$5:$R$204="Approved Current"),1),""))</x:f>
      </x:c>
      <x:c r="L21" s="60" t="str">
        <x:f>IF($A21="","",IFERROR(INDEX(FILTER('Result Review'!$L$5:$L$204,'Result Review'!$D$5:$D$204=$A21,'Result Review'!$R$5:$R$204="Approved Current"),1),""))</x:f>
      </x:c>
      <x:c r="M21" s="38" t="str">
        <x:f>IF($A21="","",IFERROR(INDEX(FILTER('Result Review'!$B$5:$B$204,'Result Review'!$D$5:$D$204=$A21,'Result Review'!$R$5:$R$204="Approved Current"),1),""))</x:f>
      </x:c>
      <x:c r="N21" s="38" t="str">
        <x:f>IF($A21="","","Approved Current")</x:f>
      </x:c>
      <x:c r="O21" s="49" t="str">
        <x:f>IF($A21="","","Derived from Result Review row "&amp;M21)</x:f>
      </x:c>
    </x:row>
    <x:row r="22" ht="15" hidden="0" customHeight="1">
      <x:c r="A22" s="48" t="str">
        <x:f>IF(Fixtures!A22="","",IF(COUNTIFS('Result Review'!$D$5:$D$204,Fixtures!A22,'Result Review'!$R$5:$R$204,"Approved Current")=1,Fixtures!A22,""))</x:f>
      </x:c>
      <x:c r="B22" s="38" t="str">
        <x:f>IF($A22="","",XLOOKUP($A22,Fixtures!$A$5:$A$204,Fixtures!$B$5:$B$204,""))</x:f>
      </x:c>
      <x:c r="C22" s="38" t="str">
        <x:f>IF($A22="","",XLOOKUP($A22,Fixtures!$A$5:$A$204,Fixtures!$D$5:$D$204,""))</x:f>
      </x:c>
      <x:c r="D22" s="38" t="str">
        <x:f>IF($A22="","",XLOOKUP($A22,Fixtures!$A$5:$A$204,Fixtures!$E$5:$E$204,""))</x:f>
      </x:c>
      <x:c r="E22" s="38" t="str">
        <x:f>IF($A22="","",XLOOKUP($A22,Fixtures!$A$5:$A$204,Fixtures!$F$5:$F$204,""))</x:f>
      </x:c>
      <x:c r="F22" s="38" t="str">
        <x:f>IF($A22="","",XLOOKUP($A22,Fixtures!$A$5:$A$204,Fixtures!$G$5:$G$204,""))</x:f>
      </x:c>
      <x:c r="G22" s="38" t="str">
        <x:f>IF($A22="","",IFERROR(INDEX(FILTER('Result Review'!$X$5:$X$204,'Result Review'!$D$5:$D$204=$A22,'Result Review'!$R$5:$R$204="Approved Current"),1),""))</x:f>
      </x:c>
      <x:c r="H22" s="38" t="str">
        <x:f>IF($A22="","",IFERROR(INDEX(FILTER('Result Review'!$Y$5:$Y$204,'Result Review'!$D$5:$D$204=$A22,'Result Review'!$R$5:$R$204="Approved Current"),1),""))</x:f>
      </x:c>
      <x:c r="I22" s="38" t="str">
        <x:f>IF($A22="","",IFERROR(INDEX(FILTER('Result Review'!$J$5:$J$204,'Result Review'!$D$5:$D$204=$A22,'Result Review'!$R$5:$R$204="Approved Current"),1),""))</x:f>
      </x:c>
      <x:c r="J22" s="38" t="str">
        <x:f>IF($A22="","",IFERROR(INDEX(FILTER('Result Review'!$K$5:$K$204,'Result Review'!$D$5:$D$204=$A22,'Result Review'!$R$5:$R$204="Approved Current"),1),""))</x:f>
      </x:c>
      <x:c r="K22" s="38" t="str">
        <x:f>IF($A22="","",IFERROR(INDEX(FILTER('Result Review'!$Z$5:$Z$204,'Result Review'!$D$5:$D$204=$A22,'Result Review'!$R$5:$R$204="Approved Current"),1),""))</x:f>
      </x:c>
      <x:c r="L22" s="60" t="str">
        <x:f>IF($A22="","",IFERROR(INDEX(FILTER('Result Review'!$L$5:$L$204,'Result Review'!$D$5:$D$204=$A22,'Result Review'!$R$5:$R$204="Approved Current"),1),""))</x:f>
      </x:c>
      <x:c r="M22" s="38" t="str">
        <x:f>IF($A22="","",IFERROR(INDEX(FILTER('Result Review'!$B$5:$B$204,'Result Review'!$D$5:$D$204=$A22,'Result Review'!$R$5:$R$204="Approved Current"),1),""))</x:f>
      </x:c>
      <x:c r="N22" s="38" t="str">
        <x:f>IF($A22="","","Approved Current")</x:f>
      </x:c>
      <x:c r="O22" s="49" t="str">
        <x:f>IF($A22="","","Derived from Result Review row "&amp;M22)</x:f>
      </x:c>
    </x:row>
    <x:row r="23" ht="15" hidden="0" customHeight="1">
      <x:c r="A23" s="48" t="str">
        <x:f>IF(Fixtures!A23="","",IF(COUNTIFS('Result Review'!$D$5:$D$204,Fixtures!A23,'Result Review'!$R$5:$R$204,"Approved Current")=1,Fixtures!A23,""))</x:f>
      </x:c>
      <x:c r="B23" s="38" t="str">
        <x:f>IF($A23="","",XLOOKUP($A23,Fixtures!$A$5:$A$204,Fixtures!$B$5:$B$204,""))</x:f>
      </x:c>
      <x:c r="C23" s="38" t="str">
        <x:f>IF($A23="","",XLOOKUP($A23,Fixtures!$A$5:$A$204,Fixtures!$D$5:$D$204,""))</x:f>
      </x:c>
      <x:c r="D23" s="38" t="str">
        <x:f>IF($A23="","",XLOOKUP($A23,Fixtures!$A$5:$A$204,Fixtures!$E$5:$E$204,""))</x:f>
      </x:c>
      <x:c r="E23" s="38" t="str">
        <x:f>IF($A23="","",XLOOKUP($A23,Fixtures!$A$5:$A$204,Fixtures!$F$5:$F$204,""))</x:f>
      </x:c>
      <x:c r="F23" s="38" t="str">
        <x:f>IF($A23="","",XLOOKUP($A23,Fixtures!$A$5:$A$204,Fixtures!$G$5:$G$204,""))</x:f>
      </x:c>
      <x:c r="G23" s="38" t="str">
        <x:f>IF($A23="","",IFERROR(INDEX(FILTER('Result Review'!$X$5:$X$204,'Result Review'!$D$5:$D$204=$A23,'Result Review'!$R$5:$R$204="Approved Current"),1),""))</x:f>
      </x:c>
      <x:c r="H23" s="38" t="str">
        <x:f>IF($A23="","",IFERROR(INDEX(FILTER('Result Review'!$Y$5:$Y$204,'Result Review'!$D$5:$D$204=$A23,'Result Review'!$R$5:$R$204="Approved Current"),1),""))</x:f>
      </x:c>
      <x:c r="I23" s="38" t="str">
        <x:f>IF($A23="","",IFERROR(INDEX(FILTER('Result Review'!$J$5:$J$204,'Result Review'!$D$5:$D$204=$A23,'Result Review'!$R$5:$R$204="Approved Current"),1),""))</x:f>
      </x:c>
      <x:c r="J23" s="38" t="str">
        <x:f>IF($A23="","",IFERROR(INDEX(FILTER('Result Review'!$K$5:$K$204,'Result Review'!$D$5:$D$204=$A23,'Result Review'!$R$5:$R$204="Approved Current"),1),""))</x:f>
      </x:c>
      <x:c r="K23" s="38" t="str">
        <x:f>IF($A23="","",IFERROR(INDEX(FILTER('Result Review'!$Z$5:$Z$204,'Result Review'!$D$5:$D$204=$A23,'Result Review'!$R$5:$R$204="Approved Current"),1),""))</x:f>
      </x:c>
      <x:c r="L23" s="60" t="str">
        <x:f>IF($A23="","",IFERROR(INDEX(FILTER('Result Review'!$L$5:$L$204,'Result Review'!$D$5:$D$204=$A23,'Result Review'!$R$5:$R$204="Approved Current"),1),""))</x:f>
      </x:c>
      <x:c r="M23" s="38" t="str">
        <x:f>IF($A23="","",IFERROR(INDEX(FILTER('Result Review'!$B$5:$B$204,'Result Review'!$D$5:$D$204=$A23,'Result Review'!$R$5:$R$204="Approved Current"),1),""))</x:f>
      </x:c>
      <x:c r="N23" s="38" t="str">
        <x:f>IF($A23="","","Approved Current")</x:f>
      </x:c>
      <x:c r="O23" s="49" t="str">
        <x:f>IF($A23="","","Derived from Result Review row "&amp;M23)</x:f>
      </x:c>
    </x:row>
    <x:row r="24" ht="15" hidden="0" customHeight="1">
      <x:c r="A24" s="48" t="str">
        <x:f>IF(Fixtures!A24="","",IF(COUNTIFS('Result Review'!$D$5:$D$204,Fixtures!A24,'Result Review'!$R$5:$R$204,"Approved Current")=1,Fixtures!A24,""))</x:f>
      </x:c>
      <x:c r="B24" s="38" t="str">
        <x:f>IF($A24="","",XLOOKUP($A24,Fixtures!$A$5:$A$204,Fixtures!$B$5:$B$204,""))</x:f>
      </x:c>
      <x:c r="C24" s="38" t="str">
        <x:f>IF($A24="","",XLOOKUP($A24,Fixtures!$A$5:$A$204,Fixtures!$D$5:$D$204,""))</x:f>
      </x:c>
      <x:c r="D24" s="38" t="str">
        <x:f>IF($A24="","",XLOOKUP($A24,Fixtures!$A$5:$A$204,Fixtures!$E$5:$E$204,""))</x:f>
      </x:c>
      <x:c r="E24" s="38" t="str">
        <x:f>IF($A24="","",XLOOKUP($A24,Fixtures!$A$5:$A$204,Fixtures!$F$5:$F$204,""))</x:f>
      </x:c>
      <x:c r="F24" s="38" t="str">
        <x:f>IF($A24="","",XLOOKUP($A24,Fixtures!$A$5:$A$204,Fixtures!$G$5:$G$204,""))</x:f>
      </x:c>
      <x:c r="G24" s="38" t="str">
        <x:f>IF($A24="","",IFERROR(INDEX(FILTER('Result Review'!$X$5:$X$204,'Result Review'!$D$5:$D$204=$A24,'Result Review'!$R$5:$R$204="Approved Current"),1),""))</x:f>
      </x:c>
      <x:c r="H24" s="38" t="str">
        <x:f>IF($A24="","",IFERROR(INDEX(FILTER('Result Review'!$Y$5:$Y$204,'Result Review'!$D$5:$D$204=$A24,'Result Review'!$R$5:$R$204="Approved Current"),1),""))</x:f>
      </x:c>
      <x:c r="I24" s="38" t="str">
        <x:f>IF($A24="","",IFERROR(INDEX(FILTER('Result Review'!$J$5:$J$204,'Result Review'!$D$5:$D$204=$A24,'Result Review'!$R$5:$R$204="Approved Current"),1),""))</x:f>
      </x:c>
      <x:c r="J24" s="38" t="str">
        <x:f>IF($A24="","",IFERROR(INDEX(FILTER('Result Review'!$K$5:$K$204,'Result Review'!$D$5:$D$204=$A24,'Result Review'!$R$5:$R$204="Approved Current"),1),""))</x:f>
      </x:c>
      <x:c r="K24" s="38" t="str">
        <x:f>IF($A24="","",IFERROR(INDEX(FILTER('Result Review'!$Z$5:$Z$204,'Result Review'!$D$5:$D$204=$A24,'Result Review'!$R$5:$R$204="Approved Current"),1),""))</x:f>
      </x:c>
      <x:c r="L24" s="60" t="str">
        <x:f>IF($A24="","",IFERROR(INDEX(FILTER('Result Review'!$L$5:$L$204,'Result Review'!$D$5:$D$204=$A24,'Result Review'!$R$5:$R$204="Approved Current"),1),""))</x:f>
      </x:c>
      <x:c r="M24" s="38" t="str">
        <x:f>IF($A24="","",IFERROR(INDEX(FILTER('Result Review'!$B$5:$B$204,'Result Review'!$D$5:$D$204=$A24,'Result Review'!$R$5:$R$204="Approved Current"),1),""))</x:f>
      </x:c>
      <x:c r="N24" s="38" t="str">
        <x:f>IF($A24="","","Approved Current")</x:f>
      </x:c>
      <x:c r="O24" s="49" t="str">
        <x:f>IF($A24="","","Derived from Result Review row "&amp;M24)</x:f>
      </x:c>
    </x:row>
    <x:row r="25" ht="15" hidden="0" customHeight="1">
      <x:c r="A25" s="48" t="str">
        <x:f>IF(Fixtures!A25="","",IF(COUNTIFS('Result Review'!$D$5:$D$204,Fixtures!A25,'Result Review'!$R$5:$R$204,"Approved Current")=1,Fixtures!A25,""))</x:f>
      </x:c>
      <x:c r="B25" s="38" t="str">
        <x:f>IF($A25="","",XLOOKUP($A25,Fixtures!$A$5:$A$204,Fixtures!$B$5:$B$204,""))</x:f>
      </x:c>
      <x:c r="C25" s="38" t="str">
        <x:f>IF($A25="","",XLOOKUP($A25,Fixtures!$A$5:$A$204,Fixtures!$D$5:$D$204,""))</x:f>
      </x:c>
      <x:c r="D25" s="38" t="str">
        <x:f>IF($A25="","",XLOOKUP($A25,Fixtures!$A$5:$A$204,Fixtures!$E$5:$E$204,""))</x:f>
      </x:c>
      <x:c r="E25" s="38" t="str">
        <x:f>IF($A25="","",XLOOKUP($A25,Fixtures!$A$5:$A$204,Fixtures!$F$5:$F$204,""))</x:f>
      </x:c>
      <x:c r="F25" s="38" t="str">
        <x:f>IF($A25="","",XLOOKUP($A25,Fixtures!$A$5:$A$204,Fixtures!$G$5:$G$204,""))</x:f>
      </x:c>
      <x:c r="G25" s="38" t="str">
        <x:f>IF($A25="","",IFERROR(INDEX(FILTER('Result Review'!$X$5:$X$204,'Result Review'!$D$5:$D$204=$A25,'Result Review'!$R$5:$R$204="Approved Current"),1),""))</x:f>
      </x:c>
      <x:c r="H25" s="38" t="str">
        <x:f>IF($A25="","",IFERROR(INDEX(FILTER('Result Review'!$Y$5:$Y$204,'Result Review'!$D$5:$D$204=$A25,'Result Review'!$R$5:$R$204="Approved Current"),1),""))</x:f>
      </x:c>
      <x:c r="I25" s="38" t="str">
        <x:f>IF($A25="","",IFERROR(INDEX(FILTER('Result Review'!$J$5:$J$204,'Result Review'!$D$5:$D$204=$A25,'Result Review'!$R$5:$R$204="Approved Current"),1),""))</x:f>
      </x:c>
      <x:c r="J25" s="38" t="str">
        <x:f>IF($A25="","",IFERROR(INDEX(FILTER('Result Review'!$K$5:$K$204,'Result Review'!$D$5:$D$204=$A25,'Result Review'!$R$5:$R$204="Approved Current"),1),""))</x:f>
      </x:c>
      <x:c r="K25" s="38" t="str">
        <x:f>IF($A25="","",IFERROR(INDEX(FILTER('Result Review'!$Z$5:$Z$204,'Result Review'!$D$5:$D$204=$A25,'Result Review'!$R$5:$R$204="Approved Current"),1),""))</x:f>
      </x:c>
      <x:c r="L25" s="60" t="str">
        <x:f>IF($A25="","",IFERROR(INDEX(FILTER('Result Review'!$L$5:$L$204,'Result Review'!$D$5:$D$204=$A25,'Result Review'!$R$5:$R$204="Approved Current"),1),""))</x:f>
      </x:c>
      <x:c r="M25" s="38" t="str">
        <x:f>IF($A25="","",IFERROR(INDEX(FILTER('Result Review'!$B$5:$B$204,'Result Review'!$D$5:$D$204=$A25,'Result Review'!$R$5:$R$204="Approved Current"),1),""))</x:f>
      </x:c>
      <x:c r="N25" s="38" t="str">
        <x:f>IF($A25="","","Approved Current")</x:f>
      </x:c>
      <x:c r="O25" s="49" t="str">
        <x:f>IF($A25="","","Derived from Result Review row "&amp;M25)</x:f>
      </x:c>
    </x:row>
    <x:row r="26" ht="15" hidden="0" customHeight="1">
      <x:c r="A26" s="48" t="str">
        <x:f>IF(Fixtures!A26="","",IF(COUNTIFS('Result Review'!$D$5:$D$204,Fixtures!A26,'Result Review'!$R$5:$R$204,"Approved Current")=1,Fixtures!A26,""))</x:f>
      </x:c>
      <x:c r="B26" s="38" t="str">
        <x:f>IF($A26="","",XLOOKUP($A26,Fixtures!$A$5:$A$204,Fixtures!$B$5:$B$204,""))</x:f>
      </x:c>
      <x:c r="C26" s="38" t="str">
        <x:f>IF($A26="","",XLOOKUP($A26,Fixtures!$A$5:$A$204,Fixtures!$D$5:$D$204,""))</x:f>
      </x:c>
      <x:c r="D26" s="38" t="str">
        <x:f>IF($A26="","",XLOOKUP($A26,Fixtures!$A$5:$A$204,Fixtures!$E$5:$E$204,""))</x:f>
      </x:c>
      <x:c r="E26" s="38" t="str">
        <x:f>IF($A26="","",XLOOKUP($A26,Fixtures!$A$5:$A$204,Fixtures!$F$5:$F$204,""))</x:f>
      </x:c>
      <x:c r="F26" s="38" t="str">
        <x:f>IF($A26="","",XLOOKUP($A26,Fixtures!$A$5:$A$204,Fixtures!$G$5:$G$204,""))</x:f>
      </x:c>
      <x:c r="G26" s="38" t="str">
        <x:f>IF($A26="","",IFERROR(INDEX(FILTER('Result Review'!$X$5:$X$204,'Result Review'!$D$5:$D$204=$A26,'Result Review'!$R$5:$R$204="Approved Current"),1),""))</x:f>
      </x:c>
      <x:c r="H26" s="38" t="str">
        <x:f>IF($A26="","",IFERROR(INDEX(FILTER('Result Review'!$Y$5:$Y$204,'Result Review'!$D$5:$D$204=$A26,'Result Review'!$R$5:$R$204="Approved Current"),1),""))</x:f>
      </x:c>
      <x:c r="I26" s="38" t="str">
        <x:f>IF($A26="","",IFERROR(INDEX(FILTER('Result Review'!$J$5:$J$204,'Result Review'!$D$5:$D$204=$A26,'Result Review'!$R$5:$R$204="Approved Current"),1),""))</x:f>
      </x:c>
      <x:c r="J26" s="38" t="str">
        <x:f>IF($A26="","",IFERROR(INDEX(FILTER('Result Review'!$K$5:$K$204,'Result Review'!$D$5:$D$204=$A26,'Result Review'!$R$5:$R$204="Approved Current"),1),""))</x:f>
      </x:c>
      <x:c r="K26" s="38" t="str">
        <x:f>IF($A26="","",IFERROR(INDEX(FILTER('Result Review'!$Z$5:$Z$204,'Result Review'!$D$5:$D$204=$A26,'Result Review'!$R$5:$R$204="Approved Current"),1),""))</x:f>
      </x:c>
      <x:c r="L26" s="60" t="str">
        <x:f>IF($A26="","",IFERROR(INDEX(FILTER('Result Review'!$L$5:$L$204,'Result Review'!$D$5:$D$204=$A26,'Result Review'!$R$5:$R$204="Approved Current"),1),""))</x:f>
      </x:c>
      <x:c r="M26" s="38" t="str">
        <x:f>IF($A26="","",IFERROR(INDEX(FILTER('Result Review'!$B$5:$B$204,'Result Review'!$D$5:$D$204=$A26,'Result Review'!$R$5:$R$204="Approved Current"),1),""))</x:f>
      </x:c>
      <x:c r="N26" s="38" t="str">
        <x:f>IF($A26="","","Approved Current")</x:f>
      </x:c>
      <x:c r="O26" s="49" t="str">
        <x:f>IF($A26="","","Derived from Result Review row "&amp;M26)</x:f>
      </x:c>
    </x:row>
    <x:row r="27" ht="15" hidden="0" customHeight="1">
      <x:c r="A27" s="48" t="str">
        <x:f>IF(Fixtures!A27="","",IF(COUNTIFS('Result Review'!$D$5:$D$204,Fixtures!A27,'Result Review'!$R$5:$R$204,"Approved Current")=1,Fixtures!A27,""))</x:f>
      </x:c>
      <x:c r="B27" s="38" t="str">
        <x:f>IF($A27="","",XLOOKUP($A27,Fixtures!$A$5:$A$204,Fixtures!$B$5:$B$204,""))</x:f>
      </x:c>
      <x:c r="C27" s="38" t="str">
        <x:f>IF($A27="","",XLOOKUP($A27,Fixtures!$A$5:$A$204,Fixtures!$D$5:$D$204,""))</x:f>
      </x:c>
      <x:c r="D27" s="38" t="str">
        <x:f>IF($A27="","",XLOOKUP($A27,Fixtures!$A$5:$A$204,Fixtures!$E$5:$E$204,""))</x:f>
      </x:c>
      <x:c r="E27" s="38" t="str">
        <x:f>IF($A27="","",XLOOKUP($A27,Fixtures!$A$5:$A$204,Fixtures!$F$5:$F$204,""))</x:f>
      </x:c>
      <x:c r="F27" s="38" t="str">
        <x:f>IF($A27="","",XLOOKUP($A27,Fixtures!$A$5:$A$204,Fixtures!$G$5:$G$204,""))</x:f>
      </x:c>
      <x:c r="G27" s="38" t="str">
        <x:f>IF($A27="","",IFERROR(INDEX(FILTER('Result Review'!$X$5:$X$204,'Result Review'!$D$5:$D$204=$A27,'Result Review'!$R$5:$R$204="Approved Current"),1),""))</x:f>
      </x:c>
      <x:c r="H27" s="38" t="str">
        <x:f>IF($A27="","",IFERROR(INDEX(FILTER('Result Review'!$Y$5:$Y$204,'Result Review'!$D$5:$D$204=$A27,'Result Review'!$R$5:$R$204="Approved Current"),1),""))</x:f>
      </x:c>
      <x:c r="I27" s="38" t="str">
        <x:f>IF($A27="","",IFERROR(INDEX(FILTER('Result Review'!$J$5:$J$204,'Result Review'!$D$5:$D$204=$A27,'Result Review'!$R$5:$R$204="Approved Current"),1),""))</x:f>
      </x:c>
      <x:c r="J27" s="38" t="str">
        <x:f>IF($A27="","",IFERROR(INDEX(FILTER('Result Review'!$K$5:$K$204,'Result Review'!$D$5:$D$204=$A27,'Result Review'!$R$5:$R$204="Approved Current"),1),""))</x:f>
      </x:c>
      <x:c r="K27" s="38" t="str">
        <x:f>IF($A27="","",IFERROR(INDEX(FILTER('Result Review'!$Z$5:$Z$204,'Result Review'!$D$5:$D$204=$A27,'Result Review'!$R$5:$R$204="Approved Current"),1),""))</x:f>
      </x:c>
      <x:c r="L27" s="60" t="str">
        <x:f>IF($A27="","",IFERROR(INDEX(FILTER('Result Review'!$L$5:$L$204,'Result Review'!$D$5:$D$204=$A27,'Result Review'!$R$5:$R$204="Approved Current"),1),""))</x:f>
      </x:c>
      <x:c r="M27" s="38" t="str">
        <x:f>IF($A27="","",IFERROR(INDEX(FILTER('Result Review'!$B$5:$B$204,'Result Review'!$D$5:$D$204=$A27,'Result Review'!$R$5:$R$204="Approved Current"),1),""))</x:f>
      </x:c>
      <x:c r="N27" s="38" t="str">
        <x:f>IF($A27="","","Approved Current")</x:f>
      </x:c>
      <x:c r="O27" s="49" t="str">
        <x:f>IF($A27="","","Derived from Result Review row "&amp;M27)</x:f>
      </x:c>
    </x:row>
    <x:row r="28" ht="15" hidden="0" customHeight="1">
      <x:c r="A28" s="48" t="str">
        <x:f>IF(Fixtures!A28="","",IF(COUNTIFS('Result Review'!$D$5:$D$204,Fixtures!A28,'Result Review'!$R$5:$R$204,"Approved Current")=1,Fixtures!A28,""))</x:f>
      </x:c>
      <x:c r="B28" s="38" t="str">
        <x:f>IF($A28="","",XLOOKUP($A28,Fixtures!$A$5:$A$204,Fixtures!$B$5:$B$204,""))</x:f>
      </x:c>
      <x:c r="C28" s="38" t="str">
        <x:f>IF($A28="","",XLOOKUP($A28,Fixtures!$A$5:$A$204,Fixtures!$D$5:$D$204,""))</x:f>
      </x:c>
      <x:c r="D28" s="38" t="str">
        <x:f>IF($A28="","",XLOOKUP($A28,Fixtures!$A$5:$A$204,Fixtures!$E$5:$E$204,""))</x:f>
      </x:c>
      <x:c r="E28" s="38" t="str">
        <x:f>IF($A28="","",XLOOKUP($A28,Fixtures!$A$5:$A$204,Fixtures!$F$5:$F$204,""))</x:f>
      </x:c>
      <x:c r="F28" s="38" t="str">
        <x:f>IF($A28="","",XLOOKUP($A28,Fixtures!$A$5:$A$204,Fixtures!$G$5:$G$204,""))</x:f>
      </x:c>
      <x:c r="G28" s="38" t="str">
        <x:f>IF($A28="","",IFERROR(INDEX(FILTER('Result Review'!$X$5:$X$204,'Result Review'!$D$5:$D$204=$A28,'Result Review'!$R$5:$R$204="Approved Current"),1),""))</x:f>
      </x:c>
      <x:c r="H28" s="38" t="str">
        <x:f>IF($A28="","",IFERROR(INDEX(FILTER('Result Review'!$Y$5:$Y$204,'Result Review'!$D$5:$D$204=$A28,'Result Review'!$R$5:$R$204="Approved Current"),1),""))</x:f>
      </x:c>
      <x:c r="I28" s="38" t="str">
        <x:f>IF($A28="","",IFERROR(INDEX(FILTER('Result Review'!$J$5:$J$204,'Result Review'!$D$5:$D$204=$A28,'Result Review'!$R$5:$R$204="Approved Current"),1),""))</x:f>
      </x:c>
      <x:c r="J28" s="38" t="str">
        <x:f>IF($A28="","",IFERROR(INDEX(FILTER('Result Review'!$K$5:$K$204,'Result Review'!$D$5:$D$204=$A28,'Result Review'!$R$5:$R$204="Approved Current"),1),""))</x:f>
      </x:c>
      <x:c r="K28" s="38" t="str">
        <x:f>IF($A28="","",IFERROR(INDEX(FILTER('Result Review'!$Z$5:$Z$204,'Result Review'!$D$5:$D$204=$A28,'Result Review'!$R$5:$R$204="Approved Current"),1),""))</x:f>
      </x:c>
      <x:c r="L28" s="60" t="str">
        <x:f>IF($A28="","",IFERROR(INDEX(FILTER('Result Review'!$L$5:$L$204,'Result Review'!$D$5:$D$204=$A28,'Result Review'!$R$5:$R$204="Approved Current"),1),""))</x:f>
      </x:c>
      <x:c r="M28" s="38" t="str">
        <x:f>IF($A28="","",IFERROR(INDEX(FILTER('Result Review'!$B$5:$B$204,'Result Review'!$D$5:$D$204=$A28,'Result Review'!$R$5:$R$204="Approved Current"),1),""))</x:f>
      </x:c>
      <x:c r="N28" s="38" t="str">
        <x:f>IF($A28="","","Approved Current")</x:f>
      </x:c>
      <x:c r="O28" s="49" t="str">
        <x:f>IF($A28="","","Derived from Result Review row "&amp;M28)</x:f>
      </x:c>
    </x:row>
    <x:row r="29" ht="15" hidden="0" customHeight="1">
      <x:c r="A29" s="48" t="str">
        <x:f>IF(Fixtures!A29="","",IF(COUNTIFS('Result Review'!$D$5:$D$204,Fixtures!A29,'Result Review'!$R$5:$R$204,"Approved Current")=1,Fixtures!A29,""))</x:f>
      </x:c>
      <x:c r="B29" s="38" t="str">
        <x:f>IF($A29="","",XLOOKUP($A29,Fixtures!$A$5:$A$204,Fixtures!$B$5:$B$204,""))</x:f>
      </x:c>
      <x:c r="C29" s="38" t="str">
        <x:f>IF($A29="","",XLOOKUP($A29,Fixtures!$A$5:$A$204,Fixtures!$D$5:$D$204,""))</x:f>
      </x:c>
      <x:c r="D29" s="38" t="str">
        <x:f>IF($A29="","",XLOOKUP($A29,Fixtures!$A$5:$A$204,Fixtures!$E$5:$E$204,""))</x:f>
      </x:c>
      <x:c r="E29" s="38" t="str">
        <x:f>IF($A29="","",XLOOKUP($A29,Fixtures!$A$5:$A$204,Fixtures!$F$5:$F$204,""))</x:f>
      </x:c>
      <x:c r="F29" s="38" t="str">
        <x:f>IF($A29="","",XLOOKUP($A29,Fixtures!$A$5:$A$204,Fixtures!$G$5:$G$204,""))</x:f>
      </x:c>
      <x:c r="G29" s="38" t="str">
        <x:f>IF($A29="","",IFERROR(INDEX(FILTER('Result Review'!$X$5:$X$204,'Result Review'!$D$5:$D$204=$A29,'Result Review'!$R$5:$R$204="Approved Current"),1),""))</x:f>
      </x:c>
      <x:c r="H29" s="38" t="str">
        <x:f>IF($A29="","",IFERROR(INDEX(FILTER('Result Review'!$Y$5:$Y$204,'Result Review'!$D$5:$D$204=$A29,'Result Review'!$R$5:$R$204="Approved Current"),1),""))</x:f>
      </x:c>
      <x:c r="I29" s="38" t="str">
        <x:f>IF($A29="","",IFERROR(INDEX(FILTER('Result Review'!$J$5:$J$204,'Result Review'!$D$5:$D$204=$A29,'Result Review'!$R$5:$R$204="Approved Current"),1),""))</x:f>
      </x:c>
      <x:c r="J29" s="38" t="str">
        <x:f>IF($A29="","",IFERROR(INDEX(FILTER('Result Review'!$K$5:$K$204,'Result Review'!$D$5:$D$204=$A29,'Result Review'!$R$5:$R$204="Approved Current"),1),""))</x:f>
      </x:c>
      <x:c r="K29" s="38" t="str">
        <x:f>IF($A29="","",IFERROR(INDEX(FILTER('Result Review'!$Z$5:$Z$204,'Result Review'!$D$5:$D$204=$A29,'Result Review'!$R$5:$R$204="Approved Current"),1),""))</x:f>
      </x:c>
      <x:c r="L29" s="60" t="str">
        <x:f>IF($A29="","",IFERROR(INDEX(FILTER('Result Review'!$L$5:$L$204,'Result Review'!$D$5:$D$204=$A29,'Result Review'!$R$5:$R$204="Approved Current"),1),""))</x:f>
      </x:c>
      <x:c r="M29" s="38" t="str">
        <x:f>IF($A29="","",IFERROR(INDEX(FILTER('Result Review'!$B$5:$B$204,'Result Review'!$D$5:$D$204=$A29,'Result Review'!$R$5:$R$204="Approved Current"),1),""))</x:f>
      </x:c>
      <x:c r="N29" s="38" t="str">
        <x:f>IF($A29="","","Approved Current")</x:f>
      </x:c>
      <x:c r="O29" s="49" t="str">
        <x:f>IF($A29="","","Derived from Result Review row "&amp;M29)</x:f>
      </x:c>
    </x:row>
    <x:row r="30" ht="15" hidden="0" customHeight="1">
      <x:c r="A30" s="48" t="str">
        <x:f>IF(Fixtures!A30="","",IF(COUNTIFS('Result Review'!$D$5:$D$204,Fixtures!A30,'Result Review'!$R$5:$R$204,"Approved Current")=1,Fixtures!A30,""))</x:f>
      </x:c>
      <x:c r="B30" s="38" t="str">
        <x:f>IF($A30="","",XLOOKUP($A30,Fixtures!$A$5:$A$204,Fixtures!$B$5:$B$204,""))</x:f>
      </x:c>
      <x:c r="C30" s="38" t="str">
        <x:f>IF($A30="","",XLOOKUP($A30,Fixtures!$A$5:$A$204,Fixtures!$D$5:$D$204,""))</x:f>
      </x:c>
      <x:c r="D30" s="38" t="str">
        <x:f>IF($A30="","",XLOOKUP($A30,Fixtures!$A$5:$A$204,Fixtures!$E$5:$E$204,""))</x:f>
      </x:c>
      <x:c r="E30" s="38" t="str">
        <x:f>IF($A30="","",XLOOKUP($A30,Fixtures!$A$5:$A$204,Fixtures!$F$5:$F$204,""))</x:f>
      </x:c>
      <x:c r="F30" s="38" t="str">
        <x:f>IF($A30="","",XLOOKUP($A30,Fixtures!$A$5:$A$204,Fixtures!$G$5:$G$204,""))</x:f>
      </x:c>
      <x:c r="G30" s="38" t="str">
        <x:f>IF($A30="","",IFERROR(INDEX(FILTER('Result Review'!$X$5:$X$204,'Result Review'!$D$5:$D$204=$A30,'Result Review'!$R$5:$R$204="Approved Current"),1),""))</x:f>
      </x:c>
      <x:c r="H30" s="38" t="str">
        <x:f>IF($A30="","",IFERROR(INDEX(FILTER('Result Review'!$Y$5:$Y$204,'Result Review'!$D$5:$D$204=$A30,'Result Review'!$R$5:$R$204="Approved Current"),1),""))</x:f>
      </x:c>
      <x:c r="I30" s="38" t="str">
        <x:f>IF($A30="","",IFERROR(INDEX(FILTER('Result Review'!$J$5:$J$204,'Result Review'!$D$5:$D$204=$A30,'Result Review'!$R$5:$R$204="Approved Current"),1),""))</x:f>
      </x:c>
      <x:c r="J30" s="38" t="str">
        <x:f>IF($A30="","",IFERROR(INDEX(FILTER('Result Review'!$K$5:$K$204,'Result Review'!$D$5:$D$204=$A30,'Result Review'!$R$5:$R$204="Approved Current"),1),""))</x:f>
      </x:c>
      <x:c r="K30" s="38" t="str">
        <x:f>IF($A30="","",IFERROR(INDEX(FILTER('Result Review'!$Z$5:$Z$204,'Result Review'!$D$5:$D$204=$A30,'Result Review'!$R$5:$R$204="Approved Current"),1),""))</x:f>
      </x:c>
      <x:c r="L30" s="60" t="str">
        <x:f>IF($A30="","",IFERROR(INDEX(FILTER('Result Review'!$L$5:$L$204,'Result Review'!$D$5:$D$204=$A30,'Result Review'!$R$5:$R$204="Approved Current"),1),""))</x:f>
      </x:c>
      <x:c r="M30" s="38" t="str">
        <x:f>IF($A30="","",IFERROR(INDEX(FILTER('Result Review'!$B$5:$B$204,'Result Review'!$D$5:$D$204=$A30,'Result Review'!$R$5:$R$204="Approved Current"),1),""))</x:f>
      </x:c>
      <x:c r="N30" s="38" t="str">
        <x:f>IF($A30="","","Approved Current")</x:f>
      </x:c>
      <x:c r="O30" s="49" t="str">
        <x:f>IF($A30="","","Derived from Result Review row "&amp;M30)</x:f>
      </x:c>
    </x:row>
    <x:row r="31" ht="15" hidden="0" customHeight="1">
      <x:c r="A31" s="48" t="str">
        <x:f>IF(Fixtures!A31="","",IF(COUNTIFS('Result Review'!$D$5:$D$204,Fixtures!A31,'Result Review'!$R$5:$R$204,"Approved Current")=1,Fixtures!A31,""))</x:f>
      </x:c>
      <x:c r="B31" s="38" t="str">
        <x:f>IF($A31="","",XLOOKUP($A31,Fixtures!$A$5:$A$204,Fixtures!$B$5:$B$204,""))</x:f>
      </x:c>
      <x:c r="C31" s="38" t="str">
        <x:f>IF($A31="","",XLOOKUP($A31,Fixtures!$A$5:$A$204,Fixtures!$D$5:$D$204,""))</x:f>
      </x:c>
      <x:c r="D31" s="38" t="str">
        <x:f>IF($A31="","",XLOOKUP($A31,Fixtures!$A$5:$A$204,Fixtures!$E$5:$E$204,""))</x:f>
      </x:c>
      <x:c r="E31" s="38" t="str">
        <x:f>IF($A31="","",XLOOKUP($A31,Fixtures!$A$5:$A$204,Fixtures!$F$5:$F$204,""))</x:f>
      </x:c>
      <x:c r="F31" s="38" t="str">
        <x:f>IF($A31="","",XLOOKUP($A31,Fixtures!$A$5:$A$204,Fixtures!$G$5:$G$204,""))</x:f>
      </x:c>
      <x:c r="G31" s="38" t="str">
        <x:f>IF($A31="","",IFERROR(INDEX(FILTER('Result Review'!$X$5:$X$204,'Result Review'!$D$5:$D$204=$A31,'Result Review'!$R$5:$R$204="Approved Current"),1),""))</x:f>
      </x:c>
      <x:c r="H31" s="38" t="str">
        <x:f>IF($A31="","",IFERROR(INDEX(FILTER('Result Review'!$Y$5:$Y$204,'Result Review'!$D$5:$D$204=$A31,'Result Review'!$R$5:$R$204="Approved Current"),1),""))</x:f>
      </x:c>
      <x:c r="I31" s="38" t="str">
        <x:f>IF($A31="","",IFERROR(INDEX(FILTER('Result Review'!$J$5:$J$204,'Result Review'!$D$5:$D$204=$A31,'Result Review'!$R$5:$R$204="Approved Current"),1),""))</x:f>
      </x:c>
      <x:c r="J31" s="38" t="str">
        <x:f>IF($A31="","",IFERROR(INDEX(FILTER('Result Review'!$K$5:$K$204,'Result Review'!$D$5:$D$204=$A31,'Result Review'!$R$5:$R$204="Approved Current"),1),""))</x:f>
      </x:c>
      <x:c r="K31" s="38" t="str">
        <x:f>IF($A31="","",IFERROR(INDEX(FILTER('Result Review'!$Z$5:$Z$204,'Result Review'!$D$5:$D$204=$A31,'Result Review'!$R$5:$R$204="Approved Current"),1),""))</x:f>
      </x:c>
      <x:c r="L31" s="60" t="str">
        <x:f>IF($A31="","",IFERROR(INDEX(FILTER('Result Review'!$L$5:$L$204,'Result Review'!$D$5:$D$204=$A31,'Result Review'!$R$5:$R$204="Approved Current"),1),""))</x:f>
      </x:c>
      <x:c r="M31" s="38" t="str">
        <x:f>IF($A31="","",IFERROR(INDEX(FILTER('Result Review'!$B$5:$B$204,'Result Review'!$D$5:$D$204=$A31,'Result Review'!$R$5:$R$204="Approved Current"),1),""))</x:f>
      </x:c>
      <x:c r="N31" s="38" t="str">
        <x:f>IF($A31="","","Approved Current")</x:f>
      </x:c>
      <x:c r="O31" s="49" t="str">
        <x:f>IF($A31="","","Derived from Result Review row "&amp;M31)</x:f>
      </x:c>
    </x:row>
    <x:row r="32" ht="15" hidden="0" customHeight="1">
      <x:c r="A32" s="48" t="str">
        <x:f>IF(Fixtures!A32="","",IF(COUNTIFS('Result Review'!$D$5:$D$204,Fixtures!A32,'Result Review'!$R$5:$R$204,"Approved Current")=1,Fixtures!A32,""))</x:f>
      </x:c>
      <x:c r="B32" s="38" t="str">
        <x:f>IF($A32="","",XLOOKUP($A32,Fixtures!$A$5:$A$204,Fixtures!$B$5:$B$204,""))</x:f>
      </x:c>
      <x:c r="C32" s="38" t="str">
        <x:f>IF($A32="","",XLOOKUP($A32,Fixtures!$A$5:$A$204,Fixtures!$D$5:$D$204,""))</x:f>
      </x:c>
      <x:c r="D32" s="38" t="str">
        <x:f>IF($A32="","",XLOOKUP($A32,Fixtures!$A$5:$A$204,Fixtures!$E$5:$E$204,""))</x:f>
      </x:c>
      <x:c r="E32" s="38" t="str">
        <x:f>IF($A32="","",XLOOKUP($A32,Fixtures!$A$5:$A$204,Fixtures!$F$5:$F$204,""))</x:f>
      </x:c>
      <x:c r="F32" s="38" t="str">
        <x:f>IF($A32="","",XLOOKUP($A32,Fixtures!$A$5:$A$204,Fixtures!$G$5:$G$204,""))</x:f>
      </x:c>
      <x:c r="G32" s="38" t="str">
        <x:f>IF($A32="","",IFERROR(INDEX(FILTER('Result Review'!$X$5:$X$204,'Result Review'!$D$5:$D$204=$A32,'Result Review'!$R$5:$R$204="Approved Current"),1),""))</x:f>
      </x:c>
      <x:c r="H32" s="38" t="str">
        <x:f>IF($A32="","",IFERROR(INDEX(FILTER('Result Review'!$Y$5:$Y$204,'Result Review'!$D$5:$D$204=$A32,'Result Review'!$R$5:$R$204="Approved Current"),1),""))</x:f>
      </x:c>
      <x:c r="I32" s="38" t="str">
        <x:f>IF($A32="","",IFERROR(INDEX(FILTER('Result Review'!$J$5:$J$204,'Result Review'!$D$5:$D$204=$A32,'Result Review'!$R$5:$R$204="Approved Current"),1),""))</x:f>
      </x:c>
      <x:c r="J32" s="38" t="str">
        <x:f>IF($A32="","",IFERROR(INDEX(FILTER('Result Review'!$K$5:$K$204,'Result Review'!$D$5:$D$204=$A32,'Result Review'!$R$5:$R$204="Approved Current"),1),""))</x:f>
      </x:c>
      <x:c r="K32" s="38" t="str">
        <x:f>IF($A32="","",IFERROR(INDEX(FILTER('Result Review'!$Z$5:$Z$204,'Result Review'!$D$5:$D$204=$A32,'Result Review'!$R$5:$R$204="Approved Current"),1),""))</x:f>
      </x:c>
      <x:c r="L32" s="60" t="str">
        <x:f>IF($A32="","",IFERROR(INDEX(FILTER('Result Review'!$L$5:$L$204,'Result Review'!$D$5:$D$204=$A32,'Result Review'!$R$5:$R$204="Approved Current"),1),""))</x:f>
      </x:c>
      <x:c r="M32" s="38" t="str">
        <x:f>IF($A32="","",IFERROR(INDEX(FILTER('Result Review'!$B$5:$B$204,'Result Review'!$D$5:$D$204=$A32,'Result Review'!$R$5:$R$204="Approved Current"),1),""))</x:f>
      </x:c>
      <x:c r="N32" s="38" t="str">
        <x:f>IF($A32="","","Approved Current")</x:f>
      </x:c>
      <x:c r="O32" s="49" t="str">
        <x:f>IF($A32="","","Derived from Result Review row "&amp;M32)</x:f>
      </x:c>
    </x:row>
    <x:row r="33" ht="15" hidden="0" customHeight="1">
      <x:c r="A33" s="48" t="str">
        <x:f>IF(Fixtures!A33="","",IF(COUNTIFS('Result Review'!$D$5:$D$204,Fixtures!A33,'Result Review'!$R$5:$R$204,"Approved Current")=1,Fixtures!A33,""))</x:f>
      </x:c>
      <x:c r="B33" s="38" t="str">
        <x:f>IF($A33="","",XLOOKUP($A33,Fixtures!$A$5:$A$204,Fixtures!$B$5:$B$204,""))</x:f>
      </x:c>
      <x:c r="C33" s="38" t="str">
        <x:f>IF($A33="","",XLOOKUP($A33,Fixtures!$A$5:$A$204,Fixtures!$D$5:$D$204,""))</x:f>
      </x:c>
      <x:c r="D33" s="38" t="str">
        <x:f>IF($A33="","",XLOOKUP($A33,Fixtures!$A$5:$A$204,Fixtures!$E$5:$E$204,""))</x:f>
      </x:c>
      <x:c r="E33" s="38" t="str">
        <x:f>IF($A33="","",XLOOKUP($A33,Fixtures!$A$5:$A$204,Fixtures!$F$5:$F$204,""))</x:f>
      </x:c>
      <x:c r="F33" s="38" t="str">
        <x:f>IF($A33="","",XLOOKUP($A33,Fixtures!$A$5:$A$204,Fixtures!$G$5:$G$204,""))</x:f>
      </x:c>
      <x:c r="G33" s="38" t="str">
        <x:f>IF($A33="","",IFERROR(INDEX(FILTER('Result Review'!$X$5:$X$204,'Result Review'!$D$5:$D$204=$A33,'Result Review'!$R$5:$R$204="Approved Current"),1),""))</x:f>
      </x:c>
      <x:c r="H33" s="38" t="str">
        <x:f>IF($A33="","",IFERROR(INDEX(FILTER('Result Review'!$Y$5:$Y$204,'Result Review'!$D$5:$D$204=$A33,'Result Review'!$R$5:$R$204="Approved Current"),1),""))</x:f>
      </x:c>
      <x:c r="I33" s="38" t="str">
        <x:f>IF($A33="","",IFERROR(INDEX(FILTER('Result Review'!$J$5:$J$204,'Result Review'!$D$5:$D$204=$A33,'Result Review'!$R$5:$R$204="Approved Current"),1),""))</x:f>
      </x:c>
      <x:c r="J33" s="38" t="str">
        <x:f>IF($A33="","",IFERROR(INDEX(FILTER('Result Review'!$K$5:$K$204,'Result Review'!$D$5:$D$204=$A33,'Result Review'!$R$5:$R$204="Approved Current"),1),""))</x:f>
      </x:c>
      <x:c r="K33" s="38" t="str">
        <x:f>IF($A33="","",IFERROR(INDEX(FILTER('Result Review'!$Z$5:$Z$204,'Result Review'!$D$5:$D$204=$A33,'Result Review'!$R$5:$R$204="Approved Current"),1),""))</x:f>
      </x:c>
      <x:c r="L33" s="60" t="str">
        <x:f>IF($A33="","",IFERROR(INDEX(FILTER('Result Review'!$L$5:$L$204,'Result Review'!$D$5:$D$204=$A33,'Result Review'!$R$5:$R$204="Approved Current"),1),""))</x:f>
      </x:c>
      <x:c r="M33" s="38" t="str">
        <x:f>IF($A33="","",IFERROR(INDEX(FILTER('Result Review'!$B$5:$B$204,'Result Review'!$D$5:$D$204=$A33,'Result Review'!$R$5:$R$204="Approved Current"),1),""))</x:f>
      </x:c>
      <x:c r="N33" s="38" t="str">
        <x:f>IF($A33="","","Approved Current")</x:f>
      </x:c>
      <x:c r="O33" s="49" t="str">
        <x:f>IF($A33="","","Derived from Result Review row "&amp;M33)</x:f>
      </x:c>
    </x:row>
    <x:row r="34" ht="15" hidden="0" customHeight="1">
      <x:c r="A34" s="48" t="str">
        <x:f>IF(Fixtures!A34="","",IF(COUNTIFS('Result Review'!$D$5:$D$204,Fixtures!A34,'Result Review'!$R$5:$R$204,"Approved Current")=1,Fixtures!A34,""))</x:f>
      </x:c>
      <x:c r="B34" s="38" t="str">
        <x:f>IF($A34="","",XLOOKUP($A34,Fixtures!$A$5:$A$204,Fixtures!$B$5:$B$204,""))</x:f>
      </x:c>
      <x:c r="C34" s="38" t="str">
        <x:f>IF($A34="","",XLOOKUP($A34,Fixtures!$A$5:$A$204,Fixtures!$D$5:$D$204,""))</x:f>
      </x:c>
      <x:c r="D34" s="38" t="str">
        <x:f>IF($A34="","",XLOOKUP($A34,Fixtures!$A$5:$A$204,Fixtures!$E$5:$E$204,""))</x:f>
      </x:c>
      <x:c r="E34" s="38" t="str">
        <x:f>IF($A34="","",XLOOKUP($A34,Fixtures!$A$5:$A$204,Fixtures!$F$5:$F$204,""))</x:f>
      </x:c>
      <x:c r="F34" s="38" t="str">
        <x:f>IF($A34="","",XLOOKUP($A34,Fixtures!$A$5:$A$204,Fixtures!$G$5:$G$204,""))</x:f>
      </x:c>
      <x:c r="G34" s="38" t="str">
        <x:f>IF($A34="","",IFERROR(INDEX(FILTER('Result Review'!$X$5:$X$204,'Result Review'!$D$5:$D$204=$A34,'Result Review'!$R$5:$R$204="Approved Current"),1),""))</x:f>
      </x:c>
      <x:c r="H34" s="38" t="str">
        <x:f>IF($A34="","",IFERROR(INDEX(FILTER('Result Review'!$Y$5:$Y$204,'Result Review'!$D$5:$D$204=$A34,'Result Review'!$R$5:$R$204="Approved Current"),1),""))</x:f>
      </x:c>
      <x:c r="I34" s="38" t="str">
        <x:f>IF($A34="","",IFERROR(INDEX(FILTER('Result Review'!$J$5:$J$204,'Result Review'!$D$5:$D$204=$A34,'Result Review'!$R$5:$R$204="Approved Current"),1),""))</x:f>
      </x:c>
      <x:c r="J34" s="38" t="str">
        <x:f>IF($A34="","",IFERROR(INDEX(FILTER('Result Review'!$K$5:$K$204,'Result Review'!$D$5:$D$204=$A34,'Result Review'!$R$5:$R$204="Approved Current"),1),""))</x:f>
      </x:c>
      <x:c r="K34" s="38" t="str">
        <x:f>IF($A34="","",IFERROR(INDEX(FILTER('Result Review'!$Z$5:$Z$204,'Result Review'!$D$5:$D$204=$A34,'Result Review'!$R$5:$R$204="Approved Current"),1),""))</x:f>
      </x:c>
      <x:c r="L34" s="60" t="str">
        <x:f>IF($A34="","",IFERROR(INDEX(FILTER('Result Review'!$L$5:$L$204,'Result Review'!$D$5:$D$204=$A34,'Result Review'!$R$5:$R$204="Approved Current"),1),""))</x:f>
      </x:c>
      <x:c r="M34" s="38" t="str">
        <x:f>IF($A34="","",IFERROR(INDEX(FILTER('Result Review'!$B$5:$B$204,'Result Review'!$D$5:$D$204=$A34,'Result Review'!$R$5:$R$204="Approved Current"),1),""))</x:f>
      </x:c>
      <x:c r="N34" s="38" t="str">
        <x:f>IF($A34="","","Approved Current")</x:f>
      </x:c>
      <x:c r="O34" s="49" t="str">
        <x:f>IF($A34="","","Derived from Result Review row "&amp;M34)</x:f>
      </x:c>
    </x:row>
    <x:row r="35" ht="15" hidden="0" customHeight="1">
      <x:c r="A35" s="48" t="str">
        <x:f>IF(Fixtures!A35="","",IF(COUNTIFS('Result Review'!$D$5:$D$204,Fixtures!A35,'Result Review'!$R$5:$R$204,"Approved Current")=1,Fixtures!A35,""))</x:f>
      </x:c>
      <x:c r="B35" s="38" t="str">
        <x:f>IF($A35="","",XLOOKUP($A35,Fixtures!$A$5:$A$204,Fixtures!$B$5:$B$204,""))</x:f>
      </x:c>
      <x:c r="C35" s="38" t="str">
        <x:f>IF($A35="","",XLOOKUP($A35,Fixtures!$A$5:$A$204,Fixtures!$D$5:$D$204,""))</x:f>
      </x:c>
      <x:c r="D35" s="38" t="str">
        <x:f>IF($A35="","",XLOOKUP($A35,Fixtures!$A$5:$A$204,Fixtures!$E$5:$E$204,""))</x:f>
      </x:c>
      <x:c r="E35" s="38" t="str">
        <x:f>IF($A35="","",XLOOKUP($A35,Fixtures!$A$5:$A$204,Fixtures!$F$5:$F$204,""))</x:f>
      </x:c>
      <x:c r="F35" s="38" t="str">
        <x:f>IF($A35="","",XLOOKUP($A35,Fixtures!$A$5:$A$204,Fixtures!$G$5:$G$204,""))</x:f>
      </x:c>
      <x:c r="G35" s="38" t="str">
        <x:f>IF($A35="","",IFERROR(INDEX(FILTER('Result Review'!$X$5:$X$204,'Result Review'!$D$5:$D$204=$A35,'Result Review'!$R$5:$R$204="Approved Current"),1),""))</x:f>
      </x:c>
      <x:c r="H35" s="38" t="str">
        <x:f>IF($A35="","",IFERROR(INDEX(FILTER('Result Review'!$Y$5:$Y$204,'Result Review'!$D$5:$D$204=$A35,'Result Review'!$R$5:$R$204="Approved Current"),1),""))</x:f>
      </x:c>
      <x:c r="I35" s="38" t="str">
        <x:f>IF($A35="","",IFERROR(INDEX(FILTER('Result Review'!$J$5:$J$204,'Result Review'!$D$5:$D$204=$A35,'Result Review'!$R$5:$R$204="Approved Current"),1),""))</x:f>
      </x:c>
      <x:c r="J35" s="38" t="str">
        <x:f>IF($A35="","",IFERROR(INDEX(FILTER('Result Review'!$K$5:$K$204,'Result Review'!$D$5:$D$204=$A35,'Result Review'!$R$5:$R$204="Approved Current"),1),""))</x:f>
      </x:c>
      <x:c r="K35" s="38" t="str">
        <x:f>IF($A35="","",IFERROR(INDEX(FILTER('Result Review'!$Z$5:$Z$204,'Result Review'!$D$5:$D$204=$A35,'Result Review'!$R$5:$R$204="Approved Current"),1),""))</x:f>
      </x:c>
      <x:c r="L35" s="60" t="str">
        <x:f>IF($A35="","",IFERROR(INDEX(FILTER('Result Review'!$L$5:$L$204,'Result Review'!$D$5:$D$204=$A35,'Result Review'!$R$5:$R$204="Approved Current"),1),""))</x:f>
      </x:c>
      <x:c r="M35" s="38" t="str">
        <x:f>IF($A35="","",IFERROR(INDEX(FILTER('Result Review'!$B$5:$B$204,'Result Review'!$D$5:$D$204=$A35,'Result Review'!$R$5:$R$204="Approved Current"),1),""))</x:f>
      </x:c>
      <x:c r="N35" s="38" t="str">
        <x:f>IF($A35="","","Approved Current")</x:f>
      </x:c>
      <x:c r="O35" s="49" t="str">
        <x:f>IF($A35="","","Derived from Result Review row "&amp;M35)</x:f>
      </x:c>
    </x:row>
    <x:row r="36" ht="15" hidden="0" customHeight="1">
      <x:c r="A36" s="48" t="str">
        <x:f>IF(Fixtures!A36="","",IF(COUNTIFS('Result Review'!$D$5:$D$204,Fixtures!A36,'Result Review'!$R$5:$R$204,"Approved Current")=1,Fixtures!A36,""))</x:f>
      </x:c>
      <x:c r="B36" s="38" t="str">
        <x:f>IF($A36="","",XLOOKUP($A36,Fixtures!$A$5:$A$204,Fixtures!$B$5:$B$204,""))</x:f>
      </x:c>
      <x:c r="C36" s="38" t="str">
        <x:f>IF($A36="","",XLOOKUP($A36,Fixtures!$A$5:$A$204,Fixtures!$D$5:$D$204,""))</x:f>
      </x:c>
      <x:c r="D36" s="38" t="str">
        <x:f>IF($A36="","",XLOOKUP($A36,Fixtures!$A$5:$A$204,Fixtures!$E$5:$E$204,""))</x:f>
      </x:c>
      <x:c r="E36" s="38" t="str">
        <x:f>IF($A36="","",XLOOKUP($A36,Fixtures!$A$5:$A$204,Fixtures!$F$5:$F$204,""))</x:f>
      </x:c>
      <x:c r="F36" s="38" t="str">
        <x:f>IF($A36="","",XLOOKUP($A36,Fixtures!$A$5:$A$204,Fixtures!$G$5:$G$204,""))</x:f>
      </x:c>
      <x:c r="G36" s="38" t="str">
        <x:f>IF($A36="","",IFERROR(INDEX(FILTER('Result Review'!$X$5:$X$204,'Result Review'!$D$5:$D$204=$A36,'Result Review'!$R$5:$R$204="Approved Current"),1),""))</x:f>
      </x:c>
      <x:c r="H36" s="38" t="str">
        <x:f>IF($A36="","",IFERROR(INDEX(FILTER('Result Review'!$Y$5:$Y$204,'Result Review'!$D$5:$D$204=$A36,'Result Review'!$R$5:$R$204="Approved Current"),1),""))</x:f>
      </x:c>
      <x:c r="I36" s="38" t="str">
        <x:f>IF($A36="","",IFERROR(INDEX(FILTER('Result Review'!$J$5:$J$204,'Result Review'!$D$5:$D$204=$A36,'Result Review'!$R$5:$R$204="Approved Current"),1),""))</x:f>
      </x:c>
      <x:c r="J36" s="38" t="str">
        <x:f>IF($A36="","",IFERROR(INDEX(FILTER('Result Review'!$K$5:$K$204,'Result Review'!$D$5:$D$204=$A36,'Result Review'!$R$5:$R$204="Approved Current"),1),""))</x:f>
      </x:c>
      <x:c r="K36" s="38" t="str">
        <x:f>IF($A36="","",IFERROR(INDEX(FILTER('Result Review'!$Z$5:$Z$204,'Result Review'!$D$5:$D$204=$A36,'Result Review'!$R$5:$R$204="Approved Current"),1),""))</x:f>
      </x:c>
      <x:c r="L36" s="60" t="str">
        <x:f>IF($A36="","",IFERROR(INDEX(FILTER('Result Review'!$L$5:$L$204,'Result Review'!$D$5:$D$204=$A36,'Result Review'!$R$5:$R$204="Approved Current"),1),""))</x:f>
      </x:c>
      <x:c r="M36" s="38" t="str">
        <x:f>IF($A36="","",IFERROR(INDEX(FILTER('Result Review'!$B$5:$B$204,'Result Review'!$D$5:$D$204=$A36,'Result Review'!$R$5:$R$204="Approved Current"),1),""))</x:f>
      </x:c>
      <x:c r="N36" s="38" t="str">
        <x:f>IF($A36="","","Approved Current")</x:f>
      </x:c>
      <x:c r="O36" s="49" t="str">
        <x:f>IF($A36="","","Derived from Result Review row "&amp;M36)</x:f>
      </x:c>
    </x:row>
    <x:row r="37" ht="15" hidden="0" customHeight="1">
      <x:c r="A37" s="48" t="str">
        <x:f>IF(Fixtures!A37="","",IF(COUNTIFS('Result Review'!$D$5:$D$204,Fixtures!A37,'Result Review'!$R$5:$R$204,"Approved Current")=1,Fixtures!A37,""))</x:f>
      </x:c>
      <x:c r="B37" s="38" t="str">
        <x:f>IF($A37="","",XLOOKUP($A37,Fixtures!$A$5:$A$204,Fixtures!$B$5:$B$204,""))</x:f>
      </x:c>
      <x:c r="C37" s="38" t="str">
        <x:f>IF($A37="","",XLOOKUP($A37,Fixtures!$A$5:$A$204,Fixtures!$D$5:$D$204,""))</x:f>
      </x:c>
      <x:c r="D37" s="38" t="str">
        <x:f>IF($A37="","",XLOOKUP($A37,Fixtures!$A$5:$A$204,Fixtures!$E$5:$E$204,""))</x:f>
      </x:c>
      <x:c r="E37" s="38" t="str">
        <x:f>IF($A37="","",XLOOKUP($A37,Fixtures!$A$5:$A$204,Fixtures!$F$5:$F$204,""))</x:f>
      </x:c>
      <x:c r="F37" s="38" t="str">
        <x:f>IF($A37="","",XLOOKUP($A37,Fixtures!$A$5:$A$204,Fixtures!$G$5:$G$204,""))</x:f>
      </x:c>
      <x:c r="G37" s="38" t="str">
        <x:f>IF($A37="","",IFERROR(INDEX(FILTER('Result Review'!$X$5:$X$204,'Result Review'!$D$5:$D$204=$A37,'Result Review'!$R$5:$R$204="Approved Current"),1),""))</x:f>
      </x:c>
      <x:c r="H37" s="38" t="str">
        <x:f>IF($A37="","",IFERROR(INDEX(FILTER('Result Review'!$Y$5:$Y$204,'Result Review'!$D$5:$D$204=$A37,'Result Review'!$R$5:$R$204="Approved Current"),1),""))</x:f>
      </x:c>
      <x:c r="I37" s="38" t="str">
        <x:f>IF($A37="","",IFERROR(INDEX(FILTER('Result Review'!$J$5:$J$204,'Result Review'!$D$5:$D$204=$A37,'Result Review'!$R$5:$R$204="Approved Current"),1),""))</x:f>
      </x:c>
      <x:c r="J37" s="38" t="str">
        <x:f>IF($A37="","",IFERROR(INDEX(FILTER('Result Review'!$K$5:$K$204,'Result Review'!$D$5:$D$204=$A37,'Result Review'!$R$5:$R$204="Approved Current"),1),""))</x:f>
      </x:c>
      <x:c r="K37" s="38" t="str">
        <x:f>IF($A37="","",IFERROR(INDEX(FILTER('Result Review'!$Z$5:$Z$204,'Result Review'!$D$5:$D$204=$A37,'Result Review'!$R$5:$R$204="Approved Current"),1),""))</x:f>
      </x:c>
      <x:c r="L37" s="60" t="str">
        <x:f>IF($A37="","",IFERROR(INDEX(FILTER('Result Review'!$L$5:$L$204,'Result Review'!$D$5:$D$204=$A37,'Result Review'!$R$5:$R$204="Approved Current"),1),""))</x:f>
      </x:c>
      <x:c r="M37" s="38" t="str">
        <x:f>IF($A37="","",IFERROR(INDEX(FILTER('Result Review'!$B$5:$B$204,'Result Review'!$D$5:$D$204=$A37,'Result Review'!$R$5:$R$204="Approved Current"),1),""))</x:f>
      </x:c>
      <x:c r="N37" s="38" t="str">
        <x:f>IF($A37="","","Approved Current")</x:f>
      </x:c>
      <x:c r="O37" s="49" t="str">
        <x:f>IF($A37="","","Derived from Result Review row "&amp;M37)</x:f>
      </x:c>
    </x:row>
    <x:row r="38" ht="15" hidden="0" customHeight="1">
      <x:c r="A38" s="48" t="str">
        <x:f>IF(Fixtures!A38="","",IF(COUNTIFS('Result Review'!$D$5:$D$204,Fixtures!A38,'Result Review'!$R$5:$R$204,"Approved Current")=1,Fixtures!A38,""))</x:f>
      </x:c>
      <x:c r="B38" s="38" t="str">
        <x:f>IF($A38="","",XLOOKUP($A38,Fixtures!$A$5:$A$204,Fixtures!$B$5:$B$204,""))</x:f>
      </x:c>
      <x:c r="C38" s="38" t="str">
        <x:f>IF($A38="","",XLOOKUP($A38,Fixtures!$A$5:$A$204,Fixtures!$D$5:$D$204,""))</x:f>
      </x:c>
      <x:c r="D38" s="38" t="str">
        <x:f>IF($A38="","",XLOOKUP($A38,Fixtures!$A$5:$A$204,Fixtures!$E$5:$E$204,""))</x:f>
      </x:c>
      <x:c r="E38" s="38" t="str">
        <x:f>IF($A38="","",XLOOKUP($A38,Fixtures!$A$5:$A$204,Fixtures!$F$5:$F$204,""))</x:f>
      </x:c>
      <x:c r="F38" s="38" t="str">
        <x:f>IF($A38="","",XLOOKUP($A38,Fixtures!$A$5:$A$204,Fixtures!$G$5:$G$204,""))</x:f>
      </x:c>
      <x:c r="G38" s="38" t="str">
        <x:f>IF($A38="","",IFERROR(INDEX(FILTER('Result Review'!$X$5:$X$204,'Result Review'!$D$5:$D$204=$A38,'Result Review'!$R$5:$R$204="Approved Current"),1),""))</x:f>
      </x:c>
      <x:c r="H38" s="38" t="str">
        <x:f>IF($A38="","",IFERROR(INDEX(FILTER('Result Review'!$Y$5:$Y$204,'Result Review'!$D$5:$D$204=$A38,'Result Review'!$R$5:$R$204="Approved Current"),1),""))</x:f>
      </x:c>
      <x:c r="I38" s="38" t="str">
        <x:f>IF($A38="","",IFERROR(INDEX(FILTER('Result Review'!$J$5:$J$204,'Result Review'!$D$5:$D$204=$A38,'Result Review'!$R$5:$R$204="Approved Current"),1),""))</x:f>
      </x:c>
      <x:c r="J38" s="38" t="str">
        <x:f>IF($A38="","",IFERROR(INDEX(FILTER('Result Review'!$K$5:$K$204,'Result Review'!$D$5:$D$204=$A38,'Result Review'!$R$5:$R$204="Approved Current"),1),""))</x:f>
      </x:c>
      <x:c r="K38" s="38" t="str">
        <x:f>IF($A38="","",IFERROR(INDEX(FILTER('Result Review'!$Z$5:$Z$204,'Result Review'!$D$5:$D$204=$A38,'Result Review'!$R$5:$R$204="Approved Current"),1),""))</x:f>
      </x:c>
      <x:c r="L38" s="60" t="str">
        <x:f>IF($A38="","",IFERROR(INDEX(FILTER('Result Review'!$L$5:$L$204,'Result Review'!$D$5:$D$204=$A38,'Result Review'!$R$5:$R$204="Approved Current"),1),""))</x:f>
      </x:c>
      <x:c r="M38" s="38" t="str">
        <x:f>IF($A38="","",IFERROR(INDEX(FILTER('Result Review'!$B$5:$B$204,'Result Review'!$D$5:$D$204=$A38,'Result Review'!$R$5:$R$204="Approved Current"),1),""))</x:f>
      </x:c>
      <x:c r="N38" s="38" t="str">
        <x:f>IF($A38="","","Approved Current")</x:f>
      </x:c>
      <x:c r="O38" s="49" t="str">
        <x:f>IF($A38="","","Derived from Result Review row "&amp;M38)</x:f>
      </x:c>
    </x:row>
    <x:row r="39" ht="15" hidden="0" customHeight="1">
      <x:c r="A39" s="48" t="str">
        <x:f>IF(Fixtures!A39="","",IF(COUNTIFS('Result Review'!$D$5:$D$204,Fixtures!A39,'Result Review'!$R$5:$R$204,"Approved Current")=1,Fixtures!A39,""))</x:f>
      </x:c>
      <x:c r="B39" s="38" t="str">
        <x:f>IF($A39="","",XLOOKUP($A39,Fixtures!$A$5:$A$204,Fixtures!$B$5:$B$204,""))</x:f>
      </x:c>
      <x:c r="C39" s="38" t="str">
        <x:f>IF($A39="","",XLOOKUP($A39,Fixtures!$A$5:$A$204,Fixtures!$D$5:$D$204,""))</x:f>
      </x:c>
      <x:c r="D39" s="38" t="str">
        <x:f>IF($A39="","",XLOOKUP($A39,Fixtures!$A$5:$A$204,Fixtures!$E$5:$E$204,""))</x:f>
      </x:c>
      <x:c r="E39" s="38" t="str">
        <x:f>IF($A39="","",XLOOKUP($A39,Fixtures!$A$5:$A$204,Fixtures!$F$5:$F$204,""))</x:f>
      </x:c>
      <x:c r="F39" s="38" t="str">
        <x:f>IF($A39="","",XLOOKUP($A39,Fixtures!$A$5:$A$204,Fixtures!$G$5:$G$204,""))</x:f>
      </x:c>
      <x:c r="G39" s="38" t="str">
        <x:f>IF($A39="","",IFERROR(INDEX(FILTER('Result Review'!$X$5:$X$204,'Result Review'!$D$5:$D$204=$A39,'Result Review'!$R$5:$R$204="Approved Current"),1),""))</x:f>
      </x:c>
      <x:c r="H39" s="38" t="str">
        <x:f>IF($A39="","",IFERROR(INDEX(FILTER('Result Review'!$Y$5:$Y$204,'Result Review'!$D$5:$D$204=$A39,'Result Review'!$R$5:$R$204="Approved Current"),1),""))</x:f>
      </x:c>
      <x:c r="I39" s="38" t="str">
        <x:f>IF($A39="","",IFERROR(INDEX(FILTER('Result Review'!$J$5:$J$204,'Result Review'!$D$5:$D$204=$A39,'Result Review'!$R$5:$R$204="Approved Current"),1),""))</x:f>
      </x:c>
      <x:c r="J39" s="38" t="str">
        <x:f>IF($A39="","",IFERROR(INDEX(FILTER('Result Review'!$K$5:$K$204,'Result Review'!$D$5:$D$204=$A39,'Result Review'!$R$5:$R$204="Approved Current"),1),""))</x:f>
      </x:c>
      <x:c r="K39" s="38" t="str">
        <x:f>IF($A39="","",IFERROR(INDEX(FILTER('Result Review'!$Z$5:$Z$204,'Result Review'!$D$5:$D$204=$A39,'Result Review'!$R$5:$R$204="Approved Current"),1),""))</x:f>
      </x:c>
      <x:c r="L39" s="60" t="str">
        <x:f>IF($A39="","",IFERROR(INDEX(FILTER('Result Review'!$L$5:$L$204,'Result Review'!$D$5:$D$204=$A39,'Result Review'!$R$5:$R$204="Approved Current"),1),""))</x:f>
      </x:c>
      <x:c r="M39" s="38" t="str">
        <x:f>IF($A39="","",IFERROR(INDEX(FILTER('Result Review'!$B$5:$B$204,'Result Review'!$D$5:$D$204=$A39,'Result Review'!$R$5:$R$204="Approved Current"),1),""))</x:f>
      </x:c>
      <x:c r="N39" s="38" t="str">
        <x:f>IF($A39="","","Approved Current")</x:f>
      </x:c>
      <x:c r="O39" s="49" t="str">
        <x:f>IF($A39="","","Derived from Result Review row "&amp;M39)</x:f>
      </x:c>
    </x:row>
    <x:row r="40" ht="15" hidden="0" customHeight="1">
      <x:c r="A40" s="48" t="str">
        <x:f>IF(Fixtures!A40="","",IF(COUNTIFS('Result Review'!$D$5:$D$204,Fixtures!A40,'Result Review'!$R$5:$R$204,"Approved Current")=1,Fixtures!A40,""))</x:f>
      </x:c>
      <x:c r="B40" s="38" t="str">
        <x:f>IF($A40="","",XLOOKUP($A40,Fixtures!$A$5:$A$204,Fixtures!$B$5:$B$204,""))</x:f>
      </x:c>
      <x:c r="C40" s="38" t="str">
        <x:f>IF($A40="","",XLOOKUP($A40,Fixtures!$A$5:$A$204,Fixtures!$D$5:$D$204,""))</x:f>
      </x:c>
      <x:c r="D40" s="38" t="str">
        <x:f>IF($A40="","",XLOOKUP($A40,Fixtures!$A$5:$A$204,Fixtures!$E$5:$E$204,""))</x:f>
      </x:c>
      <x:c r="E40" s="38" t="str">
        <x:f>IF($A40="","",XLOOKUP($A40,Fixtures!$A$5:$A$204,Fixtures!$F$5:$F$204,""))</x:f>
      </x:c>
      <x:c r="F40" s="38" t="str">
        <x:f>IF($A40="","",XLOOKUP($A40,Fixtures!$A$5:$A$204,Fixtures!$G$5:$G$204,""))</x:f>
      </x:c>
      <x:c r="G40" s="38" t="str">
        <x:f>IF($A40="","",IFERROR(INDEX(FILTER('Result Review'!$X$5:$X$204,'Result Review'!$D$5:$D$204=$A40,'Result Review'!$R$5:$R$204="Approved Current"),1),""))</x:f>
      </x:c>
      <x:c r="H40" s="38" t="str">
        <x:f>IF($A40="","",IFERROR(INDEX(FILTER('Result Review'!$Y$5:$Y$204,'Result Review'!$D$5:$D$204=$A40,'Result Review'!$R$5:$R$204="Approved Current"),1),""))</x:f>
      </x:c>
      <x:c r="I40" s="38" t="str">
        <x:f>IF($A40="","",IFERROR(INDEX(FILTER('Result Review'!$J$5:$J$204,'Result Review'!$D$5:$D$204=$A40,'Result Review'!$R$5:$R$204="Approved Current"),1),""))</x:f>
      </x:c>
      <x:c r="J40" s="38" t="str">
        <x:f>IF($A40="","",IFERROR(INDEX(FILTER('Result Review'!$K$5:$K$204,'Result Review'!$D$5:$D$204=$A40,'Result Review'!$R$5:$R$204="Approved Current"),1),""))</x:f>
      </x:c>
      <x:c r="K40" s="38" t="str">
        <x:f>IF($A40="","",IFERROR(INDEX(FILTER('Result Review'!$Z$5:$Z$204,'Result Review'!$D$5:$D$204=$A40,'Result Review'!$R$5:$R$204="Approved Current"),1),""))</x:f>
      </x:c>
      <x:c r="L40" s="60" t="str">
        <x:f>IF($A40="","",IFERROR(INDEX(FILTER('Result Review'!$L$5:$L$204,'Result Review'!$D$5:$D$204=$A40,'Result Review'!$R$5:$R$204="Approved Current"),1),""))</x:f>
      </x:c>
      <x:c r="M40" s="38" t="str">
        <x:f>IF($A40="","",IFERROR(INDEX(FILTER('Result Review'!$B$5:$B$204,'Result Review'!$D$5:$D$204=$A40,'Result Review'!$R$5:$R$204="Approved Current"),1),""))</x:f>
      </x:c>
      <x:c r="N40" s="38" t="str">
        <x:f>IF($A40="","","Approved Current")</x:f>
      </x:c>
      <x:c r="O40" s="49" t="str">
        <x:f>IF($A40="","","Derived from Result Review row "&amp;M40)</x:f>
      </x:c>
    </x:row>
    <x:row r="41" ht="15" hidden="0" customHeight="1">
      <x:c r="A41" s="48" t="str">
        <x:f>IF(Fixtures!A41="","",IF(COUNTIFS('Result Review'!$D$5:$D$204,Fixtures!A41,'Result Review'!$R$5:$R$204,"Approved Current")=1,Fixtures!A41,""))</x:f>
      </x:c>
      <x:c r="B41" s="38" t="str">
        <x:f>IF($A41="","",XLOOKUP($A41,Fixtures!$A$5:$A$204,Fixtures!$B$5:$B$204,""))</x:f>
      </x:c>
      <x:c r="C41" s="38" t="str">
        <x:f>IF($A41="","",XLOOKUP($A41,Fixtures!$A$5:$A$204,Fixtures!$D$5:$D$204,""))</x:f>
      </x:c>
      <x:c r="D41" s="38" t="str">
        <x:f>IF($A41="","",XLOOKUP($A41,Fixtures!$A$5:$A$204,Fixtures!$E$5:$E$204,""))</x:f>
      </x:c>
      <x:c r="E41" s="38" t="str">
        <x:f>IF($A41="","",XLOOKUP($A41,Fixtures!$A$5:$A$204,Fixtures!$F$5:$F$204,""))</x:f>
      </x:c>
      <x:c r="F41" s="38" t="str">
        <x:f>IF($A41="","",XLOOKUP($A41,Fixtures!$A$5:$A$204,Fixtures!$G$5:$G$204,""))</x:f>
      </x:c>
      <x:c r="G41" s="38" t="str">
        <x:f>IF($A41="","",IFERROR(INDEX(FILTER('Result Review'!$X$5:$X$204,'Result Review'!$D$5:$D$204=$A41,'Result Review'!$R$5:$R$204="Approved Current"),1),""))</x:f>
      </x:c>
      <x:c r="H41" s="38" t="str">
        <x:f>IF($A41="","",IFERROR(INDEX(FILTER('Result Review'!$Y$5:$Y$204,'Result Review'!$D$5:$D$204=$A41,'Result Review'!$R$5:$R$204="Approved Current"),1),""))</x:f>
      </x:c>
      <x:c r="I41" s="38" t="str">
        <x:f>IF($A41="","",IFERROR(INDEX(FILTER('Result Review'!$J$5:$J$204,'Result Review'!$D$5:$D$204=$A41,'Result Review'!$R$5:$R$204="Approved Current"),1),""))</x:f>
      </x:c>
      <x:c r="J41" s="38" t="str">
        <x:f>IF($A41="","",IFERROR(INDEX(FILTER('Result Review'!$K$5:$K$204,'Result Review'!$D$5:$D$204=$A41,'Result Review'!$R$5:$R$204="Approved Current"),1),""))</x:f>
      </x:c>
      <x:c r="K41" s="38" t="str">
        <x:f>IF($A41="","",IFERROR(INDEX(FILTER('Result Review'!$Z$5:$Z$204,'Result Review'!$D$5:$D$204=$A41,'Result Review'!$R$5:$R$204="Approved Current"),1),""))</x:f>
      </x:c>
      <x:c r="L41" s="60" t="str">
        <x:f>IF($A41="","",IFERROR(INDEX(FILTER('Result Review'!$L$5:$L$204,'Result Review'!$D$5:$D$204=$A41,'Result Review'!$R$5:$R$204="Approved Current"),1),""))</x:f>
      </x:c>
      <x:c r="M41" s="38" t="str">
        <x:f>IF($A41="","",IFERROR(INDEX(FILTER('Result Review'!$B$5:$B$204,'Result Review'!$D$5:$D$204=$A41,'Result Review'!$R$5:$R$204="Approved Current"),1),""))</x:f>
      </x:c>
      <x:c r="N41" s="38" t="str">
        <x:f>IF($A41="","","Approved Current")</x:f>
      </x:c>
      <x:c r="O41" s="49" t="str">
        <x:f>IF($A41="","","Derived from Result Review row "&amp;M41)</x:f>
      </x:c>
    </x:row>
    <x:row r="42" ht="15" hidden="0" customHeight="1">
      <x:c r="A42" s="48" t="str">
        <x:f>IF(Fixtures!A42="","",IF(COUNTIFS('Result Review'!$D$5:$D$204,Fixtures!A42,'Result Review'!$R$5:$R$204,"Approved Current")=1,Fixtures!A42,""))</x:f>
      </x:c>
      <x:c r="B42" s="38" t="str">
        <x:f>IF($A42="","",XLOOKUP($A42,Fixtures!$A$5:$A$204,Fixtures!$B$5:$B$204,""))</x:f>
      </x:c>
      <x:c r="C42" s="38" t="str">
        <x:f>IF($A42="","",XLOOKUP($A42,Fixtures!$A$5:$A$204,Fixtures!$D$5:$D$204,""))</x:f>
      </x:c>
      <x:c r="D42" s="38" t="str">
        <x:f>IF($A42="","",XLOOKUP($A42,Fixtures!$A$5:$A$204,Fixtures!$E$5:$E$204,""))</x:f>
      </x:c>
      <x:c r="E42" s="38" t="str">
        <x:f>IF($A42="","",XLOOKUP($A42,Fixtures!$A$5:$A$204,Fixtures!$F$5:$F$204,""))</x:f>
      </x:c>
      <x:c r="F42" s="38" t="str">
        <x:f>IF($A42="","",XLOOKUP($A42,Fixtures!$A$5:$A$204,Fixtures!$G$5:$G$204,""))</x:f>
      </x:c>
      <x:c r="G42" s="38" t="str">
        <x:f>IF($A42="","",IFERROR(INDEX(FILTER('Result Review'!$X$5:$X$204,'Result Review'!$D$5:$D$204=$A42,'Result Review'!$R$5:$R$204="Approved Current"),1),""))</x:f>
      </x:c>
      <x:c r="H42" s="38" t="str">
        <x:f>IF($A42="","",IFERROR(INDEX(FILTER('Result Review'!$Y$5:$Y$204,'Result Review'!$D$5:$D$204=$A42,'Result Review'!$R$5:$R$204="Approved Current"),1),""))</x:f>
      </x:c>
      <x:c r="I42" s="38" t="str">
        <x:f>IF($A42="","",IFERROR(INDEX(FILTER('Result Review'!$J$5:$J$204,'Result Review'!$D$5:$D$204=$A42,'Result Review'!$R$5:$R$204="Approved Current"),1),""))</x:f>
      </x:c>
      <x:c r="J42" s="38" t="str">
        <x:f>IF($A42="","",IFERROR(INDEX(FILTER('Result Review'!$K$5:$K$204,'Result Review'!$D$5:$D$204=$A42,'Result Review'!$R$5:$R$204="Approved Current"),1),""))</x:f>
      </x:c>
      <x:c r="K42" s="38" t="str">
        <x:f>IF($A42="","",IFERROR(INDEX(FILTER('Result Review'!$Z$5:$Z$204,'Result Review'!$D$5:$D$204=$A42,'Result Review'!$R$5:$R$204="Approved Current"),1),""))</x:f>
      </x:c>
      <x:c r="L42" s="60" t="str">
        <x:f>IF($A42="","",IFERROR(INDEX(FILTER('Result Review'!$L$5:$L$204,'Result Review'!$D$5:$D$204=$A42,'Result Review'!$R$5:$R$204="Approved Current"),1),""))</x:f>
      </x:c>
      <x:c r="M42" s="38" t="str">
        <x:f>IF($A42="","",IFERROR(INDEX(FILTER('Result Review'!$B$5:$B$204,'Result Review'!$D$5:$D$204=$A42,'Result Review'!$R$5:$R$204="Approved Current"),1),""))</x:f>
      </x:c>
      <x:c r="N42" s="38" t="str">
        <x:f>IF($A42="","","Approved Current")</x:f>
      </x:c>
      <x:c r="O42" s="49" t="str">
        <x:f>IF($A42="","","Derived from Result Review row "&amp;M42)</x:f>
      </x:c>
    </x:row>
    <x:row r="43" ht="15" hidden="0" customHeight="1">
      <x:c r="A43" s="48" t="str">
        <x:f>IF(Fixtures!A43="","",IF(COUNTIFS('Result Review'!$D$5:$D$204,Fixtures!A43,'Result Review'!$R$5:$R$204,"Approved Current")=1,Fixtures!A43,""))</x:f>
      </x:c>
      <x:c r="B43" s="38" t="str">
        <x:f>IF($A43="","",XLOOKUP($A43,Fixtures!$A$5:$A$204,Fixtures!$B$5:$B$204,""))</x:f>
      </x:c>
      <x:c r="C43" s="38" t="str">
        <x:f>IF($A43="","",XLOOKUP($A43,Fixtures!$A$5:$A$204,Fixtures!$D$5:$D$204,""))</x:f>
      </x:c>
      <x:c r="D43" s="38" t="str">
        <x:f>IF($A43="","",XLOOKUP($A43,Fixtures!$A$5:$A$204,Fixtures!$E$5:$E$204,""))</x:f>
      </x:c>
      <x:c r="E43" s="38" t="str">
        <x:f>IF($A43="","",XLOOKUP($A43,Fixtures!$A$5:$A$204,Fixtures!$F$5:$F$204,""))</x:f>
      </x:c>
      <x:c r="F43" s="38" t="str">
        <x:f>IF($A43="","",XLOOKUP($A43,Fixtures!$A$5:$A$204,Fixtures!$G$5:$G$204,""))</x:f>
      </x:c>
      <x:c r="G43" s="38" t="str">
        <x:f>IF($A43="","",IFERROR(INDEX(FILTER('Result Review'!$X$5:$X$204,'Result Review'!$D$5:$D$204=$A43,'Result Review'!$R$5:$R$204="Approved Current"),1),""))</x:f>
      </x:c>
      <x:c r="H43" s="38" t="str">
        <x:f>IF($A43="","",IFERROR(INDEX(FILTER('Result Review'!$Y$5:$Y$204,'Result Review'!$D$5:$D$204=$A43,'Result Review'!$R$5:$R$204="Approved Current"),1),""))</x:f>
      </x:c>
      <x:c r="I43" s="38" t="str">
        <x:f>IF($A43="","",IFERROR(INDEX(FILTER('Result Review'!$J$5:$J$204,'Result Review'!$D$5:$D$204=$A43,'Result Review'!$R$5:$R$204="Approved Current"),1),""))</x:f>
      </x:c>
      <x:c r="J43" s="38" t="str">
        <x:f>IF($A43="","",IFERROR(INDEX(FILTER('Result Review'!$K$5:$K$204,'Result Review'!$D$5:$D$204=$A43,'Result Review'!$R$5:$R$204="Approved Current"),1),""))</x:f>
      </x:c>
      <x:c r="K43" s="38" t="str">
        <x:f>IF($A43="","",IFERROR(INDEX(FILTER('Result Review'!$Z$5:$Z$204,'Result Review'!$D$5:$D$204=$A43,'Result Review'!$R$5:$R$204="Approved Current"),1),""))</x:f>
      </x:c>
      <x:c r="L43" s="60" t="str">
        <x:f>IF($A43="","",IFERROR(INDEX(FILTER('Result Review'!$L$5:$L$204,'Result Review'!$D$5:$D$204=$A43,'Result Review'!$R$5:$R$204="Approved Current"),1),""))</x:f>
      </x:c>
      <x:c r="M43" s="38" t="str">
        <x:f>IF($A43="","",IFERROR(INDEX(FILTER('Result Review'!$B$5:$B$204,'Result Review'!$D$5:$D$204=$A43,'Result Review'!$R$5:$R$204="Approved Current"),1),""))</x:f>
      </x:c>
      <x:c r="N43" s="38" t="str">
        <x:f>IF($A43="","","Approved Current")</x:f>
      </x:c>
      <x:c r="O43" s="49" t="str">
        <x:f>IF($A43="","","Derived from Result Review row "&amp;M43)</x:f>
      </x:c>
    </x:row>
    <x:row r="44" ht="15" hidden="0" customHeight="1">
      <x:c r="A44" s="48" t="str">
        <x:f>IF(Fixtures!A44="","",IF(COUNTIFS('Result Review'!$D$5:$D$204,Fixtures!A44,'Result Review'!$R$5:$R$204,"Approved Current")=1,Fixtures!A44,""))</x:f>
      </x:c>
      <x:c r="B44" s="38" t="str">
        <x:f>IF($A44="","",XLOOKUP($A44,Fixtures!$A$5:$A$204,Fixtures!$B$5:$B$204,""))</x:f>
      </x:c>
      <x:c r="C44" s="38" t="str">
        <x:f>IF($A44="","",XLOOKUP($A44,Fixtures!$A$5:$A$204,Fixtures!$D$5:$D$204,""))</x:f>
      </x:c>
      <x:c r="D44" s="38" t="str">
        <x:f>IF($A44="","",XLOOKUP($A44,Fixtures!$A$5:$A$204,Fixtures!$E$5:$E$204,""))</x:f>
      </x:c>
      <x:c r="E44" s="38" t="str">
        <x:f>IF($A44="","",XLOOKUP($A44,Fixtures!$A$5:$A$204,Fixtures!$F$5:$F$204,""))</x:f>
      </x:c>
      <x:c r="F44" s="38" t="str">
        <x:f>IF($A44="","",XLOOKUP($A44,Fixtures!$A$5:$A$204,Fixtures!$G$5:$G$204,""))</x:f>
      </x:c>
      <x:c r="G44" s="38" t="str">
        <x:f>IF($A44="","",IFERROR(INDEX(FILTER('Result Review'!$X$5:$X$204,'Result Review'!$D$5:$D$204=$A44,'Result Review'!$R$5:$R$204="Approved Current"),1),""))</x:f>
      </x:c>
      <x:c r="H44" s="38" t="str">
        <x:f>IF($A44="","",IFERROR(INDEX(FILTER('Result Review'!$Y$5:$Y$204,'Result Review'!$D$5:$D$204=$A44,'Result Review'!$R$5:$R$204="Approved Current"),1),""))</x:f>
      </x:c>
      <x:c r="I44" s="38" t="str">
        <x:f>IF($A44="","",IFERROR(INDEX(FILTER('Result Review'!$J$5:$J$204,'Result Review'!$D$5:$D$204=$A44,'Result Review'!$R$5:$R$204="Approved Current"),1),""))</x:f>
      </x:c>
      <x:c r="J44" s="38" t="str">
        <x:f>IF($A44="","",IFERROR(INDEX(FILTER('Result Review'!$K$5:$K$204,'Result Review'!$D$5:$D$204=$A44,'Result Review'!$R$5:$R$204="Approved Current"),1),""))</x:f>
      </x:c>
      <x:c r="K44" s="38" t="str">
        <x:f>IF($A44="","",IFERROR(INDEX(FILTER('Result Review'!$Z$5:$Z$204,'Result Review'!$D$5:$D$204=$A44,'Result Review'!$R$5:$R$204="Approved Current"),1),""))</x:f>
      </x:c>
      <x:c r="L44" s="60" t="str">
        <x:f>IF($A44="","",IFERROR(INDEX(FILTER('Result Review'!$L$5:$L$204,'Result Review'!$D$5:$D$204=$A44,'Result Review'!$R$5:$R$204="Approved Current"),1),""))</x:f>
      </x:c>
      <x:c r="M44" s="38" t="str">
        <x:f>IF($A44="","",IFERROR(INDEX(FILTER('Result Review'!$B$5:$B$204,'Result Review'!$D$5:$D$204=$A44,'Result Review'!$R$5:$R$204="Approved Current"),1),""))</x:f>
      </x:c>
      <x:c r="N44" s="38" t="str">
        <x:f>IF($A44="","","Approved Current")</x:f>
      </x:c>
      <x:c r="O44" s="49" t="str">
        <x:f>IF($A44="","","Derived from Result Review row "&amp;M44)</x:f>
      </x:c>
    </x:row>
    <x:row r="45" ht="15" hidden="0" customHeight="1">
      <x:c r="A45" s="48" t="str">
        <x:f>IF(Fixtures!A45="","",IF(COUNTIFS('Result Review'!$D$5:$D$204,Fixtures!A45,'Result Review'!$R$5:$R$204,"Approved Current")=1,Fixtures!A45,""))</x:f>
      </x:c>
      <x:c r="B45" s="38" t="str">
        <x:f>IF($A45="","",XLOOKUP($A45,Fixtures!$A$5:$A$204,Fixtures!$B$5:$B$204,""))</x:f>
      </x:c>
      <x:c r="C45" s="38" t="str">
        <x:f>IF($A45="","",XLOOKUP($A45,Fixtures!$A$5:$A$204,Fixtures!$D$5:$D$204,""))</x:f>
      </x:c>
      <x:c r="D45" s="38" t="str">
        <x:f>IF($A45="","",XLOOKUP($A45,Fixtures!$A$5:$A$204,Fixtures!$E$5:$E$204,""))</x:f>
      </x:c>
      <x:c r="E45" s="38" t="str">
        <x:f>IF($A45="","",XLOOKUP($A45,Fixtures!$A$5:$A$204,Fixtures!$F$5:$F$204,""))</x:f>
      </x:c>
      <x:c r="F45" s="38" t="str">
        <x:f>IF($A45="","",XLOOKUP($A45,Fixtures!$A$5:$A$204,Fixtures!$G$5:$G$204,""))</x:f>
      </x:c>
      <x:c r="G45" s="38" t="str">
        <x:f>IF($A45="","",IFERROR(INDEX(FILTER('Result Review'!$X$5:$X$204,'Result Review'!$D$5:$D$204=$A45,'Result Review'!$R$5:$R$204="Approved Current"),1),""))</x:f>
      </x:c>
      <x:c r="H45" s="38" t="str">
        <x:f>IF($A45="","",IFERROR(INDEX(FILTER('Result Review'!$Y$5:$Y$204,'Result Review'!$D$5:$D$204=$A45,'Result Review'!$R$5:$R$204="Approved Current"),1),""))</x:f>
      </x:c>
      <x:c r="I45" s="38" t="str">
        <x:f>IF($A45="","",IFERROR(INDEX(FILTER('Result Review'!$J$5:$J$204,'Result Review'!$D$5:$D$204=$A45,'Result Review'!$R$5:$R$204="Approved Current"),1),""))</x:f>
      </x:c>
      <x:c r="J45" s="38" t="str">
        <x:f>IF($A45="","",IFERROR(INDEX(FILTER('Result Review'!$K$5:$K$204,'Result Review'!$D$5:$D$204=$A45,'Result Review'!$R$5:$R$204="Approved Current"),1),""))</x:f>
      </x:c>
      <x:c r="K45" s="38" t="str">
        <x:f>IF($A45="","",IFERROR(INDEX(FILTER('Result Review'!$Z$5:$Z$204,'Result Review'!$D$5:$D$204=$A45,'Result Review'!$R$5:$R$204="Approved Current"),1),""))</x:f>
      </x:c>
      <x:c r="L45" s="60" t="str">
        <x:f>IF($A45="","",IFERROR(INDEX(FILTER('Result Review'!$L$5:$L$204,'Result Review'!$D$5:$D$204=$A45,'Result Review'!$R$5:$R$204="Approved Current"),1),""))</x:f>
      </x:c>
      <x:c r="M45" s="38" t="str">
        <x:f>IF($A45="","",IFERROR(INDEX(FILTER('Result Review'!$B$5:$B$204,'Result Review'!$D$5:$D$204=$A45,'Result Review'!$R$5:$R$204="Approved Current"),1),""))</x:f>
      </x:c>
      <x:c r="N45" s="38" t="str">
        <x:f>IF($A45="","","Approved Current")</x:f>
      </x:c>
      <x:c r="O45" s="49" t="str">
        <x:f>IF($A45="","","Derived from Result Review row "&amp;M45)</x:f>
      </x:c>
    </x:row>
    <x:row r="46" ht="15" hidden="0" customHeight="1">
      <x:c r="A46" s="48" t="str">
        <x:f>IF(Fixtures!A46="","",IF(COUNTIFS('Result Review'!$D$5:$D$204,Fixtures!A46,'Result Review'!$R$5:$R$204,"Approved Current")=1,Fixtures!A46,""))</x:f>
      </x:c>
      <x:c r="B46" s="38" t="str">
        <x:f>IF($A46="","",XLOOKUP($A46,Fixtures!$A$5:$A$204,Fixtures!$B$5:$B$204,""))</x:f>
      </x:c>
      <x:c r="C46" s="38" t="str">
        <x:f>IF($A46="","",XLOOKUP($A46,Fixtures!$A$5:$A$204,Fixtures!$D$5:$D$204,""))</x:f>
      </x:c>
      <x:c r="D46" s="38" t="str">
        <x:f>IF($A46="","",XLOOKUP($A46,Fixtures!$A$5:$A$204,Fixtures!$E$5:$E$204,""))</x:f>
      </x:c>
      <x:c r="E46" s="38" t="str">
        <x:f>IF($A46="","",XLOOKUP($A46,Fixtures!$A$5:$A$204,Fixtures!$F$5:$F$204,""))</x:f>
      </x:c>
      <x:c r="F46" s="38" t="str">
        <x:f>IF($A46="","",XLOOKUP($A46,Fixtures!$A$5:$A$204,Fixtures!$G$5:$G$204,""))</x:f>
      </x:c>
      <x:c r="G46" s="38" t="str">
        <x:f>IF($A46="","",IFERROR(INDEX(FILTER('Result Review'!$X$5:$X$204,'Result Review'!$D$5:$D$204=$A46,'Result Review'!$R$5:$R$204="Approved Current"),1),""))</x:f>
      </x:c>
      <x:c r="H46" s="38" t="str">
        <x:f>IF($A46="","",IFERROR(INDEX(FILTER('Result Review'!$Y$5:$Y$204,'Result Review'!$D$5:$D$204=$A46,'Result Review'!$R$5:$R$204="Approved Current"),1),""))</x:f>
      </x:c>
      <x:c r="I46" s="38" t="str">
        <x:f>IF($A46="","",IFERROR(INDEX(FILTER('Result Review'!$J$5:$J$204,'Result Review'!$D$5:$D$204=$A46,'Result Review'!$R$5:$R$204="Approved Current"),1),""))</x:f>
      </x:c>
      <x:c r="J46" s="38" t="str">
        <x:f>IF($A46="","",IFERROR(INDEX(FILTER('Result Review'!$K$5:$K$204,'Result Review'!$D$5:$D$204=$A46,'Result Review'!$R$5:$R$204="Approved Current"),1),""))</x:f>
      </x:c>
      <x:c r="K46" s="38" t="str">
        <x:f>IF($A46="","",IFERROR(INDEX(FILTER('Result Review'!$Z$5:$Z$204,'Result Review'!$D$5:$D$204=$A46,'Result Review'!$R$5:$R$204="Approved Current"),1),""))</x:f>
      </x:c>
      <x:c r="L46" s="60" t="str">
        <x:f>IF($A46="","",IFERROR(INDEX(FILTER('Result Review'!$L$5:$L$204,'Result Review'!$D$5:$D$204=$A46,'Result Review'!$R$5:$R$204="Approved Current"),1),""))</x:f>
      </x:c>
      <x:c r="M46" s="38" t="str">
        <x:f>IF($A46="","",IFERROR(INDEX(FILTER('Result Review'!$B$5:$B$204,'Result Review'!$D$5:$D$204=$A46,'Result Review'!$R$5:$R$204="Approved Current"),1),""))</x:f>
      </x:c>
      <x:c r="N46" s="38" t="str">
        <x:f>IF($A46="","","Approved Current")</x:f>
      </x:c>
      <x:c r="O46" s="49" t="str">
        <x:f>IF($A46="","","Derived from Result Review row "&amp;M46)</x:f>
      </x:c>
    </x:row>
    <x:row r="47" ht="15" hidden="0" customHeight="1">
      <x:c r="A47" s="48" t="str">
        <x:f>IF(Fixtures!A47="","",IF(COUNTIFS('Result Review'!$D$5:$D$204,Fixtures!A47,'Result Review'!$R$5:$R$204,"Approved Current")=1,Fixtures!A47,""))</x:f>
      </x:c>
      <x:c r="B47" s="38" t="str">
        <x:f>IF($A47="","",XLOOKUP($A47,Fixtures!$A$5:$A$204,Fixtures!$B$5:$B$204,""))</x:f>
      </x:c>
      <x:c r="C47" s="38" t="str">
        <x:f>IF($A47="","",XLOOKUP($A47,Fixtures!$A$5:$A$204,Fixtures!$D$5:$D$204,""))</x:f>
      </x:c>
      <x:c r="D47" s="38" t="str">
        <x:f>IF($A47="","",XLOOKUP($A47,Fixtures!$A$5:$A$204,Fixtures!$E$5:$E$204,""))</x:f>
      </x:c>
      <x:c r="E47" s="38" t="str">
        <x:f>IF($A47="","",XLOOKUP($A47,Fixtures!$A$5:$A$204,Fixtures!$F$5:$F$204,""))</x:f>
      </x:c>
      <x:c r="F47" s="38" t="str">
        <x:f>IF($A47="","",XLOOKUP($A47,Fixtures!$A$5:$A$204,Fixtures!$G$5:$G$204,""))</x:f>
      </x:c>
      <x:c r="G47" s="38" t="str">
        <x:f>IF($A47="","",IFERROR(INDEX(FILTER('Result Review'!$X$5:$X$204,'Result Review'!$D$5:$D$204=$A47,'Result Review'!$R$5:$R$204="Approved Current"),1),""))</x:f>
      </x:c>
      <x:c r="H47" s="38" t="str">
        <x:f>IF($A47="","",IFERROR(INDEX(FILTER('Result Review'!$Y$5:$Y$204,'Result Review'!$D$5:$D$204=$A47,'Result Review'!$R$5:$R$204="Approved Current"),1),""))</x:f>
      </x:c>
      <x:c r="I47" s="38" t="str">
        <x:f>IF($A47="","",IFERROR(INDEX(FILTER('Result Review'!$J$5:$J$204,'Result Review'!$D$5:$D$204=$A47,'Result Review'!$R$5:$R$204="Approved Current"),1),""))</x:f>
      </x:c>
      <x:c r="J47" s="38" t="str">
        <x:f>IF($A47="","",IFERROR(INDEX(FILTER('Result Review'!$K$5:$K$204,'Result Review'!$D$5:$D$204=$A47,'Result Review'!$R$5:$R$204="Approved Current"),1),""))</x:f>
      </x:c>
      <x:c r="K47" s="38" t="str">
        <x:f>IF($A47="","",IFERROR(INDEX(FILTER('Result Review'!$Z$5:$Z$204,'Result Review'!$D$5:$D$204=$A47,'Result Review'!$R$5:$R$204="Approved Current"),1),""))</x:f>
      </x:c>
      <x:c r="L47" s="60" t="str">
        <x:f>IF($A47="","",IFERROR(INDEX(FILTER('Result Review'!$L$5:$L$204,'Result Review'!$D$5:$D$204=$A47,'Result Review'!$R$5:$R$204="Approved Current"),1),""))</x:f>
      </x:c>
      <x:c r="M47" s="38" t="str">
        <x:f>IF($A47="","",IFERROR(INDEX(FILTER('Result Review'!$B$5:$B$204,'Result Review'!$D$5:$D$204=$A47,'Result Review'!$R$5:$R$204="Approved Current"),1),""))</x:f>
      </x:c>
      <x:c r="N47" s="38" t="str">
        <x:f>IF($A47="","","Approved Current")</x:f>
      </x:c>
      <x:c r="O47" s="49" t="str">
        <x:f>IF($A47="","","Derived from Result Review row "&amp;M47)</x:f>
      </x:c>
    </x:row>
    <x:row r="48" ht="15" hidden="0" customHeight="1">
      <x:c r="A48" s="48" t="str">
        <x:f>IF(Fixtures!A48="","",IF(COUNTIFS('Result Review'!$D$5:$D$204,Fixtures!A48,'Result Review'!$R$5:$R$204,"Approved Current")=1,Fixtures!A48,""))</x:f>
      </x:c>
      <x:c r="B48" s="38" t="str">
        <x:f>IF($A48="","",XLOOKUP($A48,Fixtures!$A$5:$A$204,Fixtures!$B$5:$B$204,""))</x:f>
      </x:c>
      <x:c r="C48" s="38" t="str">
        <x:f>IF($A48="","",XLOOKUP($A48,Fixtures!$A$5:$A$204,Fixtures!$D$5:$D$204,""))</x:f>
      </x:c>
      <x:c r="D48" s="38" t="str">
        <x:f>IF($A48="","",XLOOKUP($A48,Fixtures!$A$5:$A$204,Fixtures!$E$5:$E$204,""))</x:f>
      </x:c>
      <x:c r="E48" s="38" t="str">
        <x:f>IF($A48="","",XLOOKUP($A48,Fixtures!$A$5:$A$204,Fixtures!$F$5:$F$204,""))</x:f>
      </x:c>
      <x:c r="F48" s="38" t="str">
        <x:f>IF($A48="","",XLOOKUP($A48,Fixtures!$A$5:$A$204,Fixtures!$G$5:$G$204,""))</x:f>
      </x:c>
      <x:c r="G48" s="38" t="str">
        <x:f>IF($A48="","",IFERROR(INDEX(FILTER('Result Review'!$X$5:$X$204,'Result Review'!$D$5:$D$204=$A48,'Result Review'!$R$5:$R$204="Approved Current"),1),""))</x:f>
      </x:c>
      <x:c r="H48" s="38" t="str">
        <x:f>IF($A48="","",IFERROR(INDEX(FILTER('Result Review'!$Y$5:$Y$204,'Result Review'!$D$5:$D$204=$A48,'Result Review'!$R$5:$R$204="Approved Current"),1),""))</x:f>
      </x:c>
      <x:c r="I48" s="38" t="str">
        <x:f>IF($A48="","",IFERROR(INDEX(FILTER('Result Review'!$J$5:$J$204,'Result Review'!$D$5:$D$204=$A48,'Result Review'!$R$5:$R$204="Approved Current"),1),""))</x:f>
      </x:c>
      <x:c r="J48" s="38" t="str">
        <x:f>IF($A48="","",IFERROR(INDEX(FILTER('Result Review'!$K$5:$K$204,'Result Review'!$D$5:$D$204=$A48,'Result Review'!$R$5:$R$204="Approved Current"),1),""))</x:f>
      </x:c>
      <x:c r="K48" s="38" t="str">
        <x:f>IF($A48="","",IFERROR(INDEX(FILTER('Result Review'!$Z$5:$Z$204,'Result Review'!$D$5:$D$204=$A48,'Result Review'!$R$5:$R$204="Approved Current"),1),""))</x:f>
      </x:c>
      <x:c r="L48" s="60" t="str">
        <x:f>IF($A48="","",IFERROR(INDEX(FILTER('Result Review'!$L$5:$L$204,'Result Review'!$D$5:$D$204=$A48,'Result Review'!$R$5:$R$204="Approved Current"),1),""))</x:f>
      </x:c>
      <x:c r="M48" s="38" t="str">
        <x:f>IF($A48="","",IFERROR(INDEX(FILTER('Result Review'!$B$5:$B$204,'Result Review'!$D$5:$D$204=$A48,'Result Review'!$R$5:$R$204="Approved Current"),1),""))</x:f>
      </x:c>
      <x:c r="N48" s="38" t="str">
        <x:f>IF($A48="","","Approved Current")</x:f>
      </x:c>
      <x:c r="O48" s="49" t="str">
        <x:f>IF($A48="","","Derived from Result Review row "&amp;M48)</x:f>
      </x:c>
    </x:row>
    <x:row r="49" ht="15" hidden="0" customHeight="1">
      <x:c r="A49" s="48" t="str">
        <x:f>IF(Fixtures!A49="","",IF(COUNTIFS('Result Review'!$D$5:$D$204,Fixtures!A49,'Result Review'!$R$5:$R$204,"Approved Current")=1,Fixtures!A49,""))</x:f>
      </x:c>
      <x:c r="B49" s="38" t="str">
        <x:f>IF($A49="","",XLOOKUP($A49,Fixtures!$A$5:$A$204,Fixtures!$B$5:$B$204,""))</x:f>
      </x:c>
      <x:c r="C49" s="38" t="str">
        <x:f>IF($A49="","",XLOOKUP($A49,Fixtures!$A$5:$A$204,Fixtures!$D$5:$D$204,""))</x:f>
      </x:c>
      <x:c r="D49" s="38" t="str">
        <x:f>IF($A49="","",XLOOKUP($A49,Fixtures!$A$5:$A$204,Fixtures!$E$5:$E$204,""))</x:f>
      </x:c>
      <x:c r="E49" s="38" t="str">
        <x:f>IF($A49="","",XLOOKUP($A49,Fixtures!$A$5:$A$204,Fixtures!$F$5:$F$204,""))</x:f>
      </x:c>
      <x:c r="F49" s="38" t="str">
        <x:f>IF($A49="","",XLOOKUP($A49,Fixtures!$A$5:$A$204,Fixtures!$G$5:$G$204,""))</x:f>
      </x:c>
      <x:c r="G49" s="38" t="str">
        <x:f>IF($A49="","",IFERROR(INDEX(FILTER('Result Review'!$X$5:$X$204,'Result Review'!$D$5:$D$204=$A49,'Result Review'!$R$5:$R$204="Approved Current"),1),""))</x:f>
      </x:c>
      <x:c r="H49" s="38" t="str">
        <x:f>IF($A49="","",IFERROR(INDEX(FILTER('Result Review'!$Y$5:$Y$204,'Result Review'!$D$5:$D$204=$A49,'Result Review'!$R$5:$R$204="Approved Current"),1),""))</x:f>
      </x:c>
      <x:c r="I49" s="38" t="str">
        <x:f>IF($A49="","",IFERROR(INDEX(FILTER('Result Review'!$J$5:$J$204,'Result Review'!$D$5:$D$204=$A49,'Result Review'!$R$5:$R$204="Approved Current"),1),""))</x:f>
      </x:c>
      <x:c r="J49" s="38" t="str">
        <x:f>IF($A49="","",IFERROR(INDEX(FILTER('Result Review'!$K$5:$K$204,'Result Review'!$D$5:$D$204=$A49,'Result Review'!$R$5:$R$204="Approved Current"),1),""))</x:f>
      </x:c>
      <x:c r="K49" s="38" t="str">
        <x:f>IF($A49="","",IFERROR(INDEX(FILTER('Result Review'!$Z$5:$Z$204,'Result Review'!$D$5:$D$204=$A49,'Result Review'!$R$5:$R$204="Approved Current"),1),""))</x:f>
      </x:c>
      <x:c r="L49" s="60" t="str">
        <x:f>IF($A49="","",IFERROR(INDEX(FILTER('Result Review'!$L$5:$L$204,'Result Review'!$D$5:$D$204=$A49,'Result Review'!$R$5:$R$204="Approved Current"),1),""))</x:f>
      </x:c>
      <x:c r="M49" s="38" t="str">
        <x:f>IF($A49="","",IFERROR(INDEX(FILTER('Result Review'!$B$5:$B$204,'Result Review'!$D$5:$D$204=$A49,'Result Review'!$R$5:$R$204="Approved Current"),1),""))</x:f>
      </x:c>
      <x:c r="N49" s="38" t="str">
        <x:f>IF($A49="","","Approved Current")</x:f>
      </x:c>
      <x:c r="O49" s="49" t="str">
        <x:f>IF($A49="","","Derived from Result Review row "&amp;M49)</x:f>
      </x:c>
    </x:row>
    <x:row r="50" ht="15" hidden="0" customHeight="1">
      <x:c r="A50" s="48" t="str">
        <x:f>IF(Fixtures!A50="","",IF(COUNTIFS('Result Review'!$D$5:$D$204,Fixtures!A50,'Result Review'!$R$5:$R$204,"Approved Current")=1,Fixtures!A50,""))</x:f>
      </x:c>
      <x:c r="B50" s="38" t="str">
        <x:f>IF($A50="","",XLOOKUP($A50,Fixtures!$A$5:$A$204,Fixtures!$B$5:$B$204,""))</x:f>
      </x:c>
      <x:c r="C50" s="38" t="str">
        <x:f>IF($A50="","",XLOOKUP($A50,Fixtures!$A$5:$A$204,Fixtures!$D$5:$D$204,""))</x:f>
      </x:c>
      <x:c r="D50" s="38" t="str">
        <x:f>IF($A50="","",XLOOKUP($A50,Fixtures!$A$5:$A$204,Fixtures!$E$5:$E$204,""))</x:f>
      </x:c>
      <x:c r="E50" s="38" t="str">
        <x:f>IF($A50="","",XLOOKUP($A50,Fixtures!$A$5:$A$204,Fixtures!$F$5:$F$204,""))</x:f>
      </x:c>
      <x:c r="F50" s="38" t="str">
        <x:f>IF($A50="","",XLOOKUP($A50,Fixtures!$A$5:$A$204,Fixtures!$G$5:$G$204,""))</x:f>
      </x:c>
      <x:c r="G50" s="38" t="str">
        <x:f>IF($A50="","",IFERROR(INDEX(FILTER('Result Review'!$X$5:$X$204,'Result Review'!$D$5:$D$204=$A50,'Result Review'!$R$5:$R$204="Approved Current"),1),""))</x:f>
      </x:c>
      <x:c r="H50" s="38" t="str">
        <x:f>IF($A50="","",IFERROR(INDEX(FILTER('Result Review'!$Y$5:$Y$204,'Result Review'!$D$5:$D$204=$A50,'Result Review'!$R$5:$R$204="Approved Current"),1),""))</x:f>
      </x:c>
      <x:c r="I50" s="38" t="str">
        <x:f>IF($A50="","",IFERROR(INDEX(FILTER('Result Review'!$J$5:$J$204,'Result Review'!$D$5:$D$204=$A50,'Result Review'!$R$5:$R$204="Approved Current"),1),""))</x:f>
      </x:c>
      <x:c r="J50" s="38" t="str">
        <x:f>IF($A50="","",IFERROR(INDEX(FILTER('Result Review'!$K$5:$K$204,'Result Review'!$D$5:$D$204=$A50,'Result Review'!$R$5:$R$204="Approved Current"),1),""))</x:f>
      </x:c>
      <x:c r="K50" s="38" t="str">
        <x:f>IF($A50="","",IFERROR(INDEX(FILTER('Result Review'!$Z$5:$Z$204,'Result Review'!$D$5:$D$204=$A50,'Result Review'!$R$5:$R$204="Approved Current"),1),""))</x:f>
      </x:c>
      <x:c r="L50" s="60" t="str">
        <x:f>IF($A50="","",IFERROR(INDEX(FILTER('Result Review'!$L$5:$L$204,'Result Review'!$D$5:$D$204=$A50,'Result Review'!$R$5:$R$204="Approved Current"),1),""))</x:f>
      </x:c>
      <x:c r="M50" s="38" t="str">
        <x:f>IF($A50="","",IFERROR(INDEX(FILTER('Result Review'!$B$5:$B$204,'Result Review'!$D$5:$D$204=$A50,'Result Review'!$R$5:$R$204="Approved Current"),1),""))</x:f>
      </x:c>
      <x:c r="N50" s="38" t="str">
        <x:f>IF($A50="","","Approved Current")</x:f>
      </x:c>
      <x:c r="O50" s="49" t="str">
        <x:f>IF($A50="","","Derived from Result Review row "&amp;M50)</x:f>
      </x:c>
    </x:row>
    <x:row r="51" ht="15" hidden="0" customHeight="1">
      <x:c r="A51" s="48" t="str">
        <x:f>IF(Fixtures!A51="","",IF(COUNTIFS('Result Review'!$D$5:$D$204,Fixtures!A51,'Result Review'!$R$5:$R$204,"Approved Current")=1,Fixtures!A51,""))</x:f>
      </x:c>
      <x:c r="B51" s="38" t="str">
        <x:f>IF($A51="","",XLOOKUP($A51,Fixtures!$A$5:$A$204,Fixtures!$B$5:$B$204,""))</x:f>
      </x:c>
      <x:c r="C51" s="38" t="str">
        <x:f>IF($A51="","",XLOOKUP($A51,Fixtures!$A$5:$A$204,Fixtures!$D$5:$D$204,""))</x:f>
      </x:c>
      <x:c r="D51" s="38" t="str">
        <x:f>IF($A51="","",XLOOKUP($A51,Fixtures!$A$5:$A$204,Fixtures!$E$5:$E$204,""))</x:f>
      </x:c>
      <x:c r="E51" s="38" t="str">
        <x:f>IF($A51="","",XLOOKUP($A51,Fixtures!$A$5:$A$204,Fixtures!$F$5:$F$204,""))</x:f>
      </x:c>
      <x:c r="F51" s="38" t="str">
        <x:f>IF($A51="","",XLOOKUP($A51,Fixtures!$A$5:$A$204,Fixtures!$G$5:$G$204,""))</x:f>
      </x:c>
      <x:c r="G51" s="38" t="str">
        <x:f>IF($A51="","",IFERROR(INDEX(FILTER('Result Review'!$X$5:$X$204,'Result Review'!$D$5:$D$204=$A51,'Result Review'!$R$5:$R$204="Approved Current"),1),""))</x:f>
      </x:c>
      <x:c r="H51" s="38" t="str">
        <x:f>IF($A51="","",IFERROR(INDEX(FILTER('Result Review'!$Y$5:$Y$204,'Result Review'!$D$5:$D$204=$A51,'Result Review'!$R$5:$R$204="Approved Current"),1),""))</x:f>
      </x:c>
      <x:c r="I51" s="38" t="str">
        <x:f>IF($A51="","",IFERROR(INDEX(FILTER('Result Review'!$J$5:$J$204,'Result Review'!$D$5:$D$204=$A51,'Result Review'!$R$5:$R$204="Approved Current"),1),""))</x:f>
      </x:c>
      <x:c r="J51" s="38" t="str">
        <x:f>IF($A51="","",IFERROR(INDEX(FILTER('Result Review'!$K$5:$K$204,'Result Review'!$D$5:$D$204=$A51,'Result Review'!$R$5:$R$204="Approved Current"),1),""))</x:f>
      </x:c>
      <x:c r="K51" s="38" t="str">
        <x:f>IF($A51="","",IFERROR(INDEX(FILTER('Result Review'!$Z$5:$Z$204,'Result Review'!$D$5:$D$204=$A51,'Result Review'!$R$5:$R$204="Approved Current"),1),""))</x:f>
      </x:c>
      <x:c r="L51" s="60" t="str">
        <x:f>IF($A51="","",IFERROR(INDEX(FILTER('Result Review'!$L$5:$L$204,'Result Review'!$D$5:$D$204=$A51,'Result Review'!$R$5:$R$204="Approved Current"),1),""))</x:f>
      </x:c>
      <x:c r="M51" s="38" t="str">
        <x:f>IF($A51="","",IFERROR(INDEX(FILTER('Result Review'!$B$5:$B$204,'Result Review'!$D$5:$D$204=$A51,'Result Review'!$R$5:$R$204="Approved Current"),1),""))</x:f>
      </x:c>
      <x:c r="N51" s="38" t="str">
        <x:f>IF($A51="","","Approved Current")</x:f>
      </x:c>
      <x:c r="O51" s="49" t="str">
        <x:f>IF($A51="","","Derived from Result Review row "&amp;M51)</x:f>
      </x:c>
    </x:row>
    <x:row r="52" ht="15" hidden="0" customHeight="1">
      <x:c r="A52" s="48" t="str">
        <x:f>IF(Fixtures!A52="","",IF(COUNTIFS('Result Review'!$D$5:$D$204,Fixtures!A52,'Result Review'!$R$5:$R$204,"Approved Current")=1,Fixtures!A52,""))</x:f>
      </x:c>
      <x:c r="B52" s="38" t="str">
        <x:f>IF($A52="","",XLOOKUP($A52,Fixtures!$A$5:$A$204,Fixtures!$B$5:$B$204,""))</x:f>
      </x:c>
      <x:c r="C52" s="38" t="str">
        <x:f>IF($A52="","",XLOOKUP($A52,Fixtures!$A$5:$A$204,Fixtures!$D$5:$D$204,""))</x:f>
      </x:c>
      <x:c r="D52" s="38" t="str">
        <x:f>IF($A52="","",XLOOKUP($A52,Fixtures!$A$5:$A$204,Fixtures!$E$5:$E$204,""))</x:f>
      </x:c>
      <x:c r="E52" s="38" t="str">
        <x:f>IF($A52="","",XLOOKUP($A52,Fixtures!$A$5:$A$204,Fixtures!$F$5:$F$204,""))</x:f>
      </x:c>
      <x:c r="F52" s="38" t="str">
        <x:f>IF($A52="","",XLOOKUP($A52,Fixtures!$A$5:$A$204,Fixtures!$G$5:$G$204,""))</x:f>
      </x:c>
      <x:c r="G52" s="38" t="str">
        <x:f>IF($A52="","",IFERROR(INDEX(FILTER('Result Review'!$X$5:$X$204,'Result Review'!$D$5:$D$204=$A52,'Result Review'!$R$5:$R$204="Approved Current"),1),""))</x:f>
      </x:c>
      <x:c r="H52" s="38" t="str">
        <x:f>IF($A52="","",IFERROR(INDEX(FILTER('Result Review'!$Y$5:$Y$204,'Result Review'!$D$5:$D$204=$A52,'Result Review'!$R$5:$R$204="Approved Current"),1),""))</x:f>
      </x:c>
      <x:c r="I52" s="38" t="str">
        <x:f>IF($A52="","",IFERROR(INDEX(FILTER('Result Review'!$J$5:$J$204,'Result Review'!$D$5:$D$204=$A52,'Result Review'!$R$5:$R$204="Approved Current"),1),""))</x:f>
      </x:c>
      <x:c r="J52" s="38" t="str">
        <x:f>IF($A52="","",IFERROR(INDEX(FILTER('Result Review'!$K$5:$K$204,'Result Review'!$D$5:$D$204=$A52,'Result Review'!$R$5:$R$204="Approved Current"),1),""))</x:f>
      </x:c>
      <x:c r="K52" s="38" t="str">
        <x:f>IF($A52="","",IFERROR(INDEX(FILTER('Result Review'!$Z$5:$Z$204,'Result Review'!$D$5:$D$204=$A52,'Result Review'!$R$5:$R$204="Approved Current"),1),""))</x:f>
      </x:c>
      <x:c r="L52" s="60" t="str">
        <x:f>IF($A52="","",IFERROR(INDEX(FILTER('Result Review'!$L$5:$L$204,'Result Review'!$D$5:$D$204=$A52,'Result Review'!$R$5:$R$204="Approved Current"),1),""))</x:f>
      </x:c>
      <x:c r="M52" s="38" t="str">
        <x:f>IF($A52="","",IFERROR(INDEX(FILTER('Result Review'!$B$5:$B$204,'Result Review'!$D$5:$D$204=$A52,'Result Review'!$R$5:$R$204="Approved Current"),1),""))</x:f>
      </x:c>
      <x:c r="N52" s="38" t="str">
        <x:f>IF($A52="","","Approved Current")</x:f>
      </x:c>
      <x:c r="O52" s="49" t="str">
        <x:f>IF($A52="","","Derived from Result Review row "&amp;M52)</x:f>
      </x:c>
    </x:row>
    <x:row r="53" ht="15" hidden="0" customHeight="1">
      <x:c r="A53" s="48" t="str">
        <x:f>IF(Fixtures!A53="","",IF(COUNTIFS('Result Review'!$D$5:$D$204,Fixtures!A53,'Result Review'!$R$5:$R$204,"Approved Current")=1,Fixtures!A53,""))</x:f>
      </x:c>
      <x:c r="B53" s="38" t="str">
        <x:f>IF($A53="","",XLOOKUP($A53,Fixtures!$A$5:$A$204,Fixtures!$B$5:$B$204,""))</x:f>
      </x:c>
      <x:c r="C53" s="38" t="str">
        <x:f>IF($A53="","",XLOOKUP($A53,Fixtures!$A$5:$A$204,Fixtures!$D$5:$D$204,""))</x:f>
      </x:c>
      <x:c r="D53" s="38" t="str">
        <x:f>IF($A53="","",XLOOKUP($A53,Fixtures!$A$5:$A$204,Fixtures!$E$5:$E$204,""))</x:f>
      </x:c>
      <x:c r="E53" s="38" t="str">
        <x:f>IF($A53="","",XLOOKUP($A53,Fixtures!$A$5:$A$204,Fixtures!$F$5:$F$204,""))</x:f>
      </x:c>
      <x:c r="F53" s="38" t="str">
        <x:f>IF($A53="","",XLOOKUP($A53,Fixtures!$A$5:$A$204,Fixtures!$G$5:$G$204,""))</x:f>
      </x:c>
      <x:c r="G53" s="38" t="str">
        <x:f>IF($A53="","",IFERROR(INDEX(FILTER('Result Review'!$X$5:$X$204,'Result Review'!$D$5:$D$204=$A53,'Result Review'!$R$5:$R$204="Approved Current"),1),""))</x:f>
      </x:c>
      <x:c r="H53" s="38" t="str">
        <x:f>IF($A53="","",IFERROR(INDEX(FILTER('Result Review'!$Y$5:$Y$204,'Result Review'!$D$5:$D$204=$A53,'Result Review'!$R$5:$R$204="Approved Current"),1),""))</x:f>
      </x:c>
      <x:c r="I53" s="38" t="str">
        <x:f>IF($A53="","",IFERROR(INDEX(FILTER('Result Review'!$J$5:$J$204,'Result Review'!$D$5:$D$204=$A53,'Result Review'!$R$5:$R$204="Approved Current"),1),""))</x:f>
      </x:c>
      <x:c r="J53" s="38" t="str">
        <x:f>IF($A53="","",IFERROR(INDEX(FILTER('Result Review'!$K$5:$K$204,'Result Review'!$D$5:$D$204=$A53,'Result Review'!$R$5:$R$204="Approved Current"),1),""))</x:f>
      </x:c>
      <x:c r="K53" s="38" t="str">
        <x:f>IF($A53="","",IFERROR(INDEX(FILTER('Result Review'!$Z$5:$Z$204,'Result Review'!$D$5:$D$204=$A53,'Result Review'!$R$5:$R$204="Approved Current"),1),""))</x:f>
      </x:c>
      <x:c r="L53" s="60" t="str">
        <x:f>IF($A53="","",IFERROR(INDEX(FILTER('Result Review'!$L$5:$L$204,'Result Review'!$D$5:$D$204=$A53,'Result Review'!$R$5:$R$204="Approved Current"),1),""))</x:f>
      </x:c>
      <x:c r="M53" s="38" t="str">
        <x:f>IF($A53="","",IFERROR(INDEX(FILTER('Result Review'!$B$5:$B$204,'Result Review'!$D$5:$D$204=$A53,'Result Review'!$R$5:$R$204="Approved Current"),1),""))</x:f>
      </x:c>
      <x:c r="N53" s="38" t="str">
        <x:f>IF($A53="","","Approved Current")</x:f>
      </x:c>
      <x:c r="O53" s="49" t="str">
        <x:f>IF($A53="","","Derived from Result Review row "&amp;M53)</x:f>
      </x:c>
    </x:row>
    <x:row r="54" ht="15" hidden="0" customHeight="1">
      <x:c r="A54" s="48" t="str">
        <x:f>IF(Fixtures!A54="","",IF(COUNTIFS('Result Review'!$D$5:$D$204,Fixtures!A54,'Result Review'!$R$5:$R$204,"Approved Current")=1,Fixtures!A54,""))</x:f>
      </x:c>
      <x:c r="B54" s="38" t="str">
        <x:f>IF($A54="","",XLOOKUP($A54,Fixtures!$A$5:$A$204,Fixtures!$B$5:$B$204,""))</x:f>
      </x:c>
      <x:c r="C54" s="38" t="str">
        <x:f>IF($A54="","",XLOOKUP($A54,Fixtures!$A$5:$A$204,Fixtures!$D$5:$D$204,""))</x:f>
      </x:c>
      <x:c r="D54" s="38" t="str">
        <x:f>IF($A54="","",XLOOKUP($A54,Fixtures!$A$5:$A$204,Fixtures!$E$5:$E$204,""))</x:f>
      </x:c>
      <x:c r="E54" s="38" t="str">
        <x:f>IF($A54="","",XLOOKUP($A54,Fixtures!$A$5:$A$204,Fixtures!$F$5:$F$204,""))</x:f>
      </x:c>
      <x:c r="F54" s="38" t="str">
        <x:f>IF($A54="","",XLOOKUP($A54,Fixtures!$A$5:$A$204,Fixtures!$G$5:$G$204,""))</x:f>
      </x:c>
      <x:c r="G54" s="38" t="str">
        <x:f>IF($A54="","",IFERROR(INDEX(FILTER('Result Review'!$X$5:$X$204,'Result Review'!$D$5:$D$204=$A54,'Result Review'!$R$5:$R$204="Approved Current"),1),""))</x:f>
      </x:c>
      <x:c r="H54" s="38" t="str">
        <x:f>IF($A54="","",IFERROR(INDEX(FILTER('Result Review'!$Y$5:$Y$204,'Result Review'!$D$5:$D$204=$A54,'Result Review'!$R$5:$R$204="Approved Current"),1),""))</x:f>
      </x:c>
      <x:c r="I54" s="38" t="str">
        <x:f>IF($A54="","",IFERROR(INDEX(FILTER('Result Review'!$J$5:$J$204,'Result Review'!$D$5:$D$204=$A54,'Result Review'!$R$5:$R$204="Approved Current"),1),""))</x:f>
      </x:c>
      <x:c r="J54" s="38" t="str">
        <x:f>IF($A54="","",IFERROR(INDEX(FILTER('Result Review'!$K$5:$K$204,'Result Review'!$D$5:$D$204=$A54,'Result Review'!$R$5:$R$204="Approved Current"),1),""))</x:f>
      </x:c>
      <x:c r="K54" s="38" t="str">
        <x:f>IF($A54="","",IFERROR(INDEX(FILTER('Result Review'!$Z$5:$Z$204,'Result Review'!$D$5:$D$204=$A54,'Result Review'!$R$5:$R$204="Approved Current"),1),""))</x:f>
      </x:c>
      <x:c r="L54" s="60" t="str">
        <x:f>IF($A54="","",IFERROR(INDEX(FILTER('Result Review'!$L$5:$L$204,'Result Review'!$D$5:$D$204=$A54,'Result Review'!$R$5:$R$204="Approved Current"),1),""))</x:f>
      </x:c>
      <x:c r="M54" s="38" t="str">
        <x:f>IF($A54="","",IFERROR(INDEX(FILTER('Result Review'!$B$5:$B$204,'Result Review'!$D$5:$D$204=$A54,'Result Review'!$R$5:$R$204="Approved Current"),1),""))</x:f>
      </x:c>
      <x:c r="N54" s="38" t="str">
        <x:f>IF($A54="","","Approved Current")</x:f>
      </x:c>
      <x:c r="O54" s="49" t="str">
        <x:f>IF($A54="","","Derived from Result Review row "&amp;M54)</x:f>
      </x:c>
    </x:row>
    <x:row r="55" ht="15" hidden="0" customHeight="1">
      <x:c r="A55" s="48" t="str">
        <x:f>IF(Fixtures!A55="","",IF(COUNTIFS('Result Review'!$D$5:$D$204,Fixtures!A55,'Result Review'!$R$5:$R$204,"Approved Current")=1,Fixtures!A55,""))</x:f>
      </x:c>
      <x:c r="B55" s="38" t="str">
        <x:f>IF($A55="","",XLOOKUP($A55,Fixtures!$A$5:$A$204,Fixtures!$B$5:$B$204,""))</x:f>
      </x:c>
      <x:c r="C55" s="38" t="str">
        <x:f>IF($A55="","",XLOOKUP($A55,Fixtures!$A$5:$A$204,Fixtures!$D$5:$D$204,""))</x:f>
      </x:c>
      <x:c r="D55" s="38" t="str">
        <x:f>IF($A55="","",XLOOKUP($A55,Fixtures!$A$5:$A$204,Fixtures!$E$5:$E$204,""))</x:f>
      </x:c>
      <x:c r="E55" s="38" t="str">
        <x:f>IF($A55="","",XLOOKUP($A55,Fixtures!$A$5:$A$204,Fixtures!$F$5:$F$204,""))</x:f>
      </x:c>
      <x:c r="F55" s="38" t="str">
        <x:f>IF($A55="","",XLOOKUP($A55,Fixtures!$A$5:$A$204,Fixtures!$G$5:$G$204,""))</x:f>
      </x:c>
      <x:c r="G55" s="38" t="str">
        <x:f>IF($A55="","",IFERROR(INDEX(FILTER('Result Review'!$X$5:$X$204,'Result Review'!$D$5:$D$204=$A55,'Result Review'!$R$5:$R$204="Approved Current"),1),""))</x:f>
      </x:c>
      <x:c r="H55" s="38" t="str">
        <x:f>IF($A55="","",IFERROR(INDEX(FILTER('Result Review'!$Y$5:$Y$204,'Result Review'!$D$5:$D$204=$A55,'Result Review'!$R$5:$R$204="Approved Current"),1),""))</x:f>
      </x:c>
      <x:c r="I55" s="38" t="str">
        <x:f>IF($A55="","",IFERROR(INDEX(FILTER('Result Review'!$J$5:$J$204,'Result Review'!$D$5:$D$204=$A55,'Result Review'!$R$5:$R$204="Approved Current"),1),""))</x:f>
      </x:c>
      <x:c r="J55" s="38" t="str">
        <x:f>IF($A55="","",IFERROR(INDEX(FILTER('Result Review'!$K$5:$K$204,'Result Review'!$D$5:$D$204=$A55,'Result Review'!$R$5:$R$204="Approved Current"),1),""))</x:f>
      </x:c>
      <x:c r="K55" s="38" t="str">
        <x:f>IF($A55="","",IFERROR(INDEX(FILTER('Result Review'!$Z$5:$Z$204,'Result Review'!$D$5:$D$204=$A55,'Result Review'!$R$5:$R$204="Approved Current"),1),""))</x:f>
      </x:c>
      <x:c r="L55" s="60" t="str">
        <x:f>IF($A55="","",IFERROR(INDEX(FILTER('Result Review'!$L$5:$L$204,'Result Review'!$D$5:$D$204=$A55,'Result Review'!$R$5:$R$204="Approved Current"),1),""))</x:f>
      </x:c>
      <x:c r="M55" s="38" t="str">
        <x:f>IF($A55="","",IFERROR(INDEX(FILTER('Result Review'!$B$5:$B$204,'Result Review'!$D$5:$D$204=$A55,'Result Review'!$R$5:$R$204="Approved Current"),1),""))</x:f>
      </x:c>
      <x:c r="N55" s="38" t="str">
        <x:f>IF($A55="","","Approved Current")</x:f>
      </x:c>
      <x:c r="O55" s="49" t="str">
        <x:f>IF($A55="","","Derived from Result Review row "&amp;M55)</x:f>
      </x:c>
    </x:row>
    <x:row r="56" ht="15" hidden="0" customHeight="1">
      <x:c r="A56" s="48" t="str">
        <x:f>IF(Fixtures!A56="","",IF(COUNTIFS('Result Review'!$D$5:$D$204,Fixtures!A56,'Result Review'!$R$5:$R$204,"Approved Current")=1,Fixtures!A56,""))</x:f>
      </x:c>
      <x:c r="B56" s="38" t="str">
        <x:f>IF($A56="","",XLOOKUP($A56,Fixtures!$A$5:$A$204,Fixtures!$B$5:$B$204,""))</x:f>
      </x:c>
      <x:c r="C56" s="38" t="str">
        <x:f>IF($A56="","",XLOOKUP($A56,Fixtures!$A$5:$A$204,Fixtures!$D$5:$D$204,""))</x:f>
      </x:c>
      <x:c r="D56" s="38" t="str">
        <x:f>IF($A56="","",XLOOKUP($A56,Fixtures!$A$5:$A$204,Fixtures!$E$5:$E$204,""))</x:f>
      </x:c>
      <x:c r="E56" s="38" t="str">
        <x:f>IF($A56="","",XLOOKUP($A56,Fixtures!$A$5:$A$204,Fixtures!$F$5:$F$204,""))</x:f>
      </x:c>
      <x:c r="F56" s="38" t="str">
        <x:f>IF($A56="","",XLOOKUP($A56,Fixtures!$A$5:$A$204,Fixtures!$G$5:$G$204,""))</x:f>
      </x:c>
      <x:c r="G56" s="38" t="str">
        <x:f>IF($A56="","",IFERROR(INDEX(FILTER('Result Review'!$X$5:$X$204,'Result Review'!$D$5:$D$204=$A56,'Result Review'!$R$5:$R$204="Approved Current"),1),""))</x:f>
      </x:c>
      <x:c r="H56" s="38" t="str">
        <x:f>IF($A56="","",IFERROR(INDEX(FILTER('Result Review'!$Y$5:$Y$204,'Result Review'!$D$5:$D$204=$A56,'Result Review'!$R$5:$R$204="Approved Current"),1),""))</x:f>
      </x:c>
      <x:c r="I56" s="38" t="str">
        <x:f>IF($A56="","",IFERROR(INDEX(FILTER('Result Review'!$J$5:$J$204,'Result Review'!$D$5:$D$204=$A56,'Result Review'!$R$5:$R$204="Approved Current"),1),""))</x:f>
      </x:c>
      <x:c r="J56" s="38" t="str">
        <x:f>IF($A56="","",IFERROR(INDEX(FILTER('Result Review'!$K$5:$K$204,'Result Review'!$D$5:$D$204=$A56,'Result Review'!$R$5:$R$204="Approved Current"),1),""))</x:f>
      </x:c>
      <x:c r="K56" s="38" t="str">
        <x:f>IF($A56="","",IFERROR(INDEX(FILTER('Result Review'!$Z$5:$Z$204,'Result Review'!$D$5:$D$204=$A56,'Result Review'!$R$5:$R$204="Approved Current"),1),""))</x:f>
      </x:c>
      <x:c r="L56" s="60" t="str">
        <x:f>IF($A56="","",IFERROR(INDEX(FILTER('Result Review'!$L$5:$L$204,'Result Review'!$D$5:$D$204=$A56,'Result Review'!$R$5:$R$204="Approved Current"),1),""))</x:f>
      </x:c>
      <x:c r="M56" s="38" t="str">
        <x:f>IF($A56="","",IFERROR(INDEX(FILTER('Result Review'!$B$5:$B$204,'Result Review'!$D$5:$D$204=$A56,'Result Review'!$R$5:$R$204="Approved Current"),1),""))</x:f>
      </x:c>
      <x:c r="N56" s="38" t="str">
        <x:f>IF($A56="","","Approved Current")</x:f>
      </x:c>
      <x:c r="O56" s="49" t="str">
        <x:f>IF($A56="","","Derived from Result Review row "&amp;M56)</x:f>
      </x:c>
    </x:row>
    <x:row r="57" ht="15" hidden="0" customHeight="1">
      <x:c r="A57" s="48" t="str">
        <x:f>IF(Fixtures!A57="","",IF(COUNTIFS('Result Review'!$D$5:$D$204,Fixtures!A57,'Result Review'!$R$5:$R$204,"Approved Current")=1,Fixtures!A57,""))</x:f>
      </x:c>
      <x:c r="B57" s="38" t="str">
        <x:f>IF($A57="","",XLOOKUP($A57,Fixtures!$A$5:$A$204,Fixtures!$B$5:$B$204,""))</x:f>
      </x:c>
      <x:c r="C57" s="38" t="str">
        <x:f>IF($A57="","",XLOOKUP($A57,Fixtures!$A$5:$A$204,Fixtures!$D$5:$D$204,""))</x:f>
      </x:c>
      <x:c r="D57" s="38" t="str">
        <x:f>IF($A57="","",XLOOKUP($A57,Fixtures!$A$5:$A$204,Fixtures!$E$5:$E$204,""))</x:f>
      </x:c>
      <x:c r="E57" s="38" t="str">
        <x:f>IF($A57="","",XLOOKUP($A57,Fixtures!$A$5:$A$204,Fixtures!$F$5:$F$204,""))</x:f>
      </x:c>
      <x:c r="F57" s="38" t="str">
        <x:f>IF($A57="","",XLOOKUP($A57,Fixtures!$A$5:$A$204,Fixtures!$G$5:$G$204,""))</x:f>
      </x:c>
      <x:c r="G57" s="38" t="str">
        <x:f>IF($A57="","",IFERROR(INDEX(FILTER('Result Review'!$X$5:$X$204,'Result Review'!$D$5:$D$204=$A57,'Result Review'!$R$5:$R$204="Approved Current"),1),""))</x:f>
      </x:c>
      <x:c r="H57" s="38" t="str">
        <x:f>IF($A57="","",IFERROR(INDEX(FILTER('Result Review'!$Y$5:$Y$204,'Result Review'!$D$5:$D$204=$A57,'Result Review'!$R$5:$R$204="Approved Current"),1),""))</x:f>
      </x:c>
      <x:c r="I57" s="38" t="str">
        <x:f>IF($A57="","",IFERROR(INDEX(FILTER('Result Review'!$J$5:$J$204,'Result Review'!$D$5:$D$204=$A57,'Result Review'!$R$5:$R$204="Approved Current"),1),""))</x:f>
      </x:c>
      <x:c r="J57" s="38" t="str">
        <x:f>IF($A57="","",IFERROR(INDEX(FILTER('Result Review'!$K$5:$K$204,'Result Review'!$D$5:$D$204=$A57,'Result Review'!$R$5:$R$204="Approved Current"),1),""))</x:f>
      </x:c>
      <x:c r="K57" s="38" t="str">
        <x:f>IF($A57="","",IFERROR(INDEX(FILTER('Result Review'!$Z$5:$Z$204,'Result Review'!$D$5:$D$204=$A57,'Result Review'!$R$5:$R$204="Approved Current"),1),""))</x:f>
      </x:c>
      <x:c r="L57" s="60" t="str">
        <x:f>IF($A57="","",IFERROR(INDEX(FILTER('Result Review'!$L$5:$L$204,'Result Review'!$D$5:$D$204=$A57,'Result Review'!$R$5:$R$204="Approved Current"),1),""))</x:f>
      </x:c>
      <x:c r="M57" s="38" t="str">
        <x:f>IF($A57="","",IFERROR(INDEX(FILTER('Result Review'!$B$5:$B$204,'Result Review'!$D$5:$D$204=$A57,'Result Review'!$R$5:$R$204="Approved Current"),1),""))</x:f>
      </x:c>
      <x:c r="N57" s="38" t="str">
        <x:f>IF($A57="","","Approved Current")</x:f>
      </x:c>
      <x:c r="O57" s="49" t="str">
        <x:f>IF($A57="","","Derived from Result Review row "&amp;M57)</x:f>
      </x:c>
    </x:row>
    <x:row r="58" ht="15" hidden="0" customHeight="1">
      <x:c r="A58" s="48" t="str">
        <x:f>IF(Fixtures!A58="","",IF(COUNTIFS('Result Review'!$D$5:$D$204,Fixtures!A58,'Result Review'!$R$5:$R$204,"Approved Current")=1,Fixtures!A58,""))</x:f>
      </x:c>
      <x:c r="B58" s="38" t="str">
        <x:f>IF($A58="","",XLOOKUP($A58,Fixtures!$A$5:$A$204,Fixtures!$B$5:$B$204,""))</x:f>
      </x:c>
      <x:c r="C58" s="38" t="str">
        <x:f>IF($A58="","",XLOOKUP($A58,Fixtures!$A$5:$A$204,Fixtures!$D$5:$D$204,""))</x:f>
      </x:c>
      <x:c r="D58" s="38" t="str">
        <x:f>IF($A58="","",XLOOKUP($A58,Fixtures!$A$5:$A$204,Fixtures!$E$5:$E$204,""))</x:f>
      </x:c>
      <x:c r="E58" s="38" t="str">
        <x:f>IF($A58="","",XLOOKUP($A58,Fixtures!$A$5:$A$204,Fixtures!$F$5:$F$204,""))</x:f>
      </x:c>
      <x:c r="F58" s="38" t="str">
        <x:f>IF($A58="","",XLOOKUP($A58,Fixtures!$A$5:$A$204,Fixtures!$G$5:$G$204,""))</x:f>
      </x:c>
      <x:c r="G58" s="38" t="str">
        <x:f>IF($A58="","",IFERROR(INDEX(FILTER('Result Review'!$X$5:$X$204,'Result Review'!$D$5:$D$204=$A58,'Result Review'!$R$5:$R$204="Approved Current"),1),""))</x:f>
      </x:c>
      <x:c r="H58" s="38" t="str">
        <x:f>IF($A58="","",IFERROR(INDEX(FILTER('Result Review'!$Y$5:$Y$204,'Result Review'!$D$5:$D$204=$A58,'Result Review'!$R$5:$R$204="Approved Current"),1),""))</x:f>
      </x:c>
      <x:c r="I58" s="38" t="str">
        <x:f>IF($A58="","",IFERROR(INDEX(FILTER('Result Review'!$J$5:$J$204,'Result Review'!$D$5:$D$204=$A58,'Result Review'!$R$5:$R$204="Approved Current"),1),""))</x:f>
      </x:c>
      <x:c r="J58" s="38" t="str">
        <x:f>IF($A58="","",IFERROR(INDEX(FILTER('Result Review'!$K$5:$K$204,'Result Review'!$D$5:$D$204=$A58,'Result Review'!$R$5:$R$204="Approved Current"),1),""))</x:f>
      </x:c>
      <x:c r="K58" s="38" t="str">
        <x:f>IF($A58="","",IFERROR(INDEX(FILTER('Result Review'!$Z$5:$Z$204,'Result Review'!$D$5:$D$204=$A58,'Result Review'!$R$5:$R$204="Approved Current"),1),""))</x:f>
      </x:c>
      <x:c r="L58" s="60" t="str">
        <x:f>IF($A58="","",IFERROR(INDEX(FILTER('Result Review'!$L$5:$L$204,'Result Review'!$D$5:$D$204=$A58,'Result Review'!$R$5:$R$204="Approved Current"),1),""))</x:f>
      </x:c>
      <x:c r="M58" s="38" t="str">
        <x:f>IF($A58="","",IFERROR(INDEX(FILTER('Result Review'!$B$5:$B$204,'Result Review'!$D$5:$D$204=$A58,'Result Review'!$R$5:$R$204="Approved Current"),1),""))</x:f>
      </x:c>
      <x:c r="N58" s="38" t="str">
        <x:f>IF($A58="","","Approved Current")</x:f>
      </x:c>
      <x:c r="O58" s="49" t="str">
        <x:f>IF($A58="","","Derived from Result Review row "&amp;M58)</x:f>
      </x:c>
    </x:row>
    <x:row r="59" ht="15" hidden="0" customHeight="1">
      <x:c r="A59" s="48" t="str">
        <x:f>IF(Fixtures!A59="","",IF(COUNTIFS('Result Review'!$D$5:$D$204,Fixtures!A59,'Result Review'!$R$5:$R$204,"Approved Current")=1,Fixtures!A59,""))</x:f>
      </x:c>
      <x:c r="B59" s="38" t="str">
        <x:f>IF($A59="","",XLOOKUP($A59,Fixtures!$A$5:$A$204,Fixtures!$B$5:$B$204,""))</x:f>
      </x:c>
      <x:c r="C59" s="38" t="str">
        <x:f>IF($A59="","",XLOOKUP($A59,Fixtures!$A$5:$A$204,Fixtures!$D$5:$D$204,""))</x:f>
      </x:c>
      <x:c r="D59" s="38" t="str">
        <x:f>IF($A59="","",XLOOKUP($A59,Fixtures!$A$5:$A$204,Fixtures!$E$5:$E$204,""))</x:f>
      </x:c>
      <x:c r="E59" s="38" t="str">
        <x:f>IF($A59="","",XLOOKUP($A59,Fixtures!$A$5:$A$204,Fixtures!$F$5:$F$204,""))</x:f>
      </x:c>
      <x:c r="F59" s="38" t="str">
        <x:f>IF($A59="","",XLOOKUP($A59,Fixtures!$A$5:$A$204,Fixtures!$G$5:$G$204,""))</x:f>
      </x:c>
      <x:c r="G59" s="38" t="str">
        <x:f>IF($A59="","",IFERROR(INDEX(FILTER('Result Review'!$X$5:$X$204,'Result Review'!$D$5:$D$204=$A59,'Result Review'!$R$5:$R$204="Approved Current"),1),""))</x:f>
      </x:c>
      <x:c r="H59" s="38" t="str">
        <x:f>IF($A59="","",IFERROR(INDEX(FILTER('Result Review'!$Y$5:$Y$204,'Result Review'!$D$5:$D$204=$A59,'Result Review'!$R$5:$R$204="Approved Current"),1),""))</x:f>
      </x:c>
      <x:c r="I59" s="38" t="str">
        <x:f>IF($A59="","",IFERROR(INDEX(FILTER('Result Review'!$J$5:$J$204,'Result Review'!$D$5:$D$204=$A59,'Result Review'!$R$5:$R$204="Approved Current"),1),""))</x:f>
      </x:c>
      <x:c r="J59" s="38" t="str">
        <x:f>IF($A59="","",IFERROR(INDEX(FILTER('Result Review'!$K$5:$K$204,'Result Review'!$D$5:$D$204=$A59,'Result Review'!$R$5:$R$204="Approved Current"),1),""))</x:f>
      </x:c>
      <x:c r="K59" s="38" t="str">
        <x:f>IF($A59="","",IFERROR(INDEX(FILTER('Result Review'!$Z$5:$Z$204,'Result Review'!$D$5:$D$204=$A59,'Result Review'!$R$5:$R$204="Approved Current"),1),""))</x:f>
      </x:c>
      <x:c r="L59" s="60" t="str">
        <x:f>IF($A59="","",IFERROR(INDEX(FILTER('Result Review'!$L$5:$L$204,'Result Review'!$D$5:$D$204=$A59,'Result Review'!$R$5:$R$204="Approved Current"),1),""))</x:f>
      </x:c>
      <x:c r="M59" s="38" t="str">
        <x:f>IF($A59="","",IFERROR(INDEX(FILTER('Result Review'!$B$5:$B$204,'Result Review'!$D$5:$D$204=$A59,'Result Review'!$R$5:$R$204="Approved Current"),1),""))</x:f>
      </x:c>
      <x:c r="N59" s="38" t="str">
        <x:f>IF($A59="","","Approved Current")</x:f>
      </x:c>
      <x:c r="O59" s="49" t="str">
        <x:f>IF($A59="","","Derived from Result Review row "&amp;M59)</x:f>
      </x:c>
    </x:row>
    <x:row r="60" ht="15" hidden="0" customHeight="1">
      <x:c r="A60" s="48" t="str">
        <x:f>IF(Fixtures!A60="","",IF(COUNTIFS('Result Review'!$D$5:$D$204,Fixtures!A60,'Result Review'!$R$5:$R$204,"Approved Current")=1,Fixtures!A60,""))</x:f>
      </x:c>
      <x:c r="B60" s="38" t="str">
        <x:f>IF($A60="","",XLOOKUP($A60,Fixtures!$A$5:$A$204,Fixtures!$B$5:$B$204,""))</x:f>
      </x:c>
      <x:c r="C60" s="38" t="str">
        <x:f>IF($A60="","",XLOOKUP($A60,Fixtures!$A$5:$A$204,Fixtures!$D$5:$D$204,""))</x:f>
      </x:c>
      <x:c r="D60" s="38" t="str">
        <x:f>IF($A60="","",XLOOKUP($A60,Fixtures!$A$5:$A$204,Fixtures!$E$5:$E$204,""))</x:f>
      </x:c>
      <x:c r="E60" s="38" t="str">
        <x:f>IF($A60="","",XLOOKUP($A60,Fixtures!$A$5:$A$204,Fixtures!$F$5:$F$204,""))</x:f>
      </x:c>
      <x:c r="F60" s="38" t="str">
        <x:f>IF($A60="","",XLOOKUP($A60,Fixtures!$A$5:$A$204,Fixtures!$G$5:$G$204,""))</x:f>
      </x:c>
      <x:c r="G60" s="38" t="str">
        <x:f>IF($A60="","",IFERROR(INDEX(FILTER('Result Review'!$X$5:$X$204,'Result Review'!$D$5:$D$204=$A60,'Result Review'!$R$5:$R$204="Approved Current"),1),""))</x:f>
      </x:c>
      <x:c r="H60" s="38" t="str">
        <x:f>IF($A60="","",IFERROR(INDEX(FILTER('Result Review'!$Y$5:$Y$204,'Result Review'!$D$5:$D$204=$A60,'Result Review'!$R$5:$R$204="Approved Current"),1),""))</x:f>
      </x:c>
      <x:c r="I60" s="38" t="str">
        <x:f>IF($A60="","",IFERROR(INDEX(FILTER('Result Review'!$J$5:$J$204,'Result Review'!$D$5:$D$204=$A60,'Result Review'!$R$5:$R$204="Approved Current"),1),""))</x:f>
      </x:c>
      <x:c r="J60" s="38" t="str">
        <x:f>IF($A60="","",IFERROR(INDEX(FILTER('Result Review'!$K$5:$K$204,'Result Review'!$D$5:$D$204=$A60,'Result Review'!$R$5:$R$204="Approved Current"),1),""))</x:f>
      </x:c>
      <x:c r="K60" s="38" t="str">
        <x:f>IF($A60="","",IFERROR(INDEX(FILTER('Result Review'!$Z$5:$Z$204,'Result Review'!$D$5:$D$204=$A60,'Result Review'!$R$5:$R$204="Approved Current"),1),""))</x:f>
      </x:c>
      <x:c r="L60" s="60" t="str">
        <x:f>IF($A60="","",IFERROR(INDEX(FILTER('Result Review'!$L$5:$L$204,'Result Review'!$D$5:$D$204=$A60,'Result Review'!$R$5:$R$204="Approved Current"),1),""))</x:f>
      </x:c>
      <x:c r="M60" s="38" t="str">
        <x:f>IF($A60="","",IFERROR(INDEX(FILTER('Result Review'!$B$5:$B$204,'Result Review'!$D$5:$D$204=$A60,'Result Review'!$R$5:$R$204="Approved Current"),1),""))</x:f>
      </x:c>
      <x:c r="N60" s="38" t="str">
        <x:f>IF($A60="","","Approved Current")</x:f>
      </x:c>
      <x:c r="O60" s="49" t="str">
        <x:f>IF($A60="","","Derived from Result Review row "&amp;M60)</x:f>
      </x:c>
    </x:row>
    <x:row r="61" ht="15" hidden="0" customHeight="1">
      <x:c r="A61" s="48" t="str">
        <x:f>IF(Fixtures!A61="","",IF(COUNTIFS('Result Review'!$D$5:$D$204,Fixtures!A61,'Result Review'!$R$5:$R$204,"Approved Current")=1,Fixtures!A61,""))</x:f>
      </x:c>
      <x:c r="B61" s="38" t="str">
        <x:f>IF($A61="","",XLOOKUP($A61,Fixtures!$A$5:$A$204,Fixtures!$B$5:$B$204,""))</x:f>
      </x:c>
      <x:c r="C61" s="38" t="str">
        <x:f>IF($A61="","",XLOOKUP($A61,Fixtures!$A$5:$A$204,Fixtures!$D$5:$D$204,""))</x:f>
      </x:c>
      <x:c r="D61" s="38" t="str">
        <x:f>IF($A61="","",XLOOKUP($A61,Fixtures!$A$5:$A$204,Fixtures!$E$5:$E$204,""))</x:f>
      </x:c>
      <x:c r="E61" s="38" t="str">
        <x:f>IF($A61="","",XLOOKUP($A61,Fixtures!$A$5:$A$204,Fixtures!$F$5:$F$204,""))</x:f>
      </x:c>
      <x:c r="F61" s="38" t="str">
        <x:f>IF($A61="","",XLOOKUP($A61,Fixtures!$A$5:$A$204,Fixtures!$G$5:$G$204,""))</x:f>
      </x:c>
      <x:c r="G61" s="38" t="str">
        <x:f>IF($A61="","",IFERROR(INDEX(FILTER('Result Review'!$X$5:$X$204,'Result Review'!$D$5:$D$204=$A61,'Result Review'!$R$5:$R$204="Approved Current"),1),""))</x:f>
      </x:c>
      <x:c r="H61" s="38" t="str">
        <x:f>IF($A61="","",IFERROR(INDEX(FILTER('Result Review'!$Y$5:$Y$204,'Result Review'!$D$5:$D$204=$A61,'Result Review'!$R$5:$R$204="Approved Current"),1),""))</x:f>
      </x:c>
      <x:c r="I61" s="38" t="str">
        <x:f>IF($A61="","",IFERROR(INDEX(FILTER('Result Review'!$J$5:$J$204,'Result Review'!$D$5:$D$204=$A61,'Result Review'!$R$5:$R$204="Approved Current"),1),""))</x:f>
      </x:c>
      <x:c r="J61" s="38" t="str">
        <x:f>IF($A61="","",IFERROR(INDEX(FILTER('Result Review'!$K$5:$K$204,'Result Review'!$D$5:$D$204=$A61,'Result Review'!$R$5:$R$204="Approved Current"),1),""))</x:f>
      </x:c>
      <x:c r="K61" s="38" t="str">
        <x:f>IF($A61="","",IFERROR(INDEX(FILTER('Result Review'!$Z$5:$Z$204,'Result Review'!$D$5:$D$204=$A61,'Result Review'!$R$5:$R$204="Approved Current"),1),""))</x:f>
      </x:c>
      <x:c r="L61" s="60" t="str">
        <x:f>IF($A61="","",IFERROR(INDEX(FILTER('Result Review'!$L$5:$L$204,'Result Review'!$D$5:$D$204=$A61,'Result Review'!$R$5:$R$204="Approved Current"),1),""))</x:f>
      </x:c>
      <x:c r="M61" s="38" t="str">
        <x:f>IF($A61="","",IFERROR(INDEX(FILTER('Result Review'!$B$5:$B$204,'Result Review'!$D$5:$D$204=$A61,'Result Review'!$R$5:$R$204="Approved Current"),1),""))</x:f>
      </x:c>
      <x:c r="N61" s="38" t="str">
        <x:f>IF($A61="","","Approved Current")</x:f>
      </x:c>
      <x:c r="O61" s="49" t="str">
        <x:f>IF($A61="","","Derived from Result Review row "&amp;M61)</x:f>
      </x:c>
    </x:row>
    <x:row r="62" ht="15" hidden="0" customHeight="1">
      <x:c r="A62" s="48" t="str">
        <x:f>IF(Fixtures!A62="","",IF(COUNTIFS('Result Review'!$D$5:$D$204,Fixtures!A62,'Result Review'!$R$5:$R$204,"Approved Current")=1,Fixtures!A62,""))</x:f>
      </x:c>
      <x:c r="B62" s="38" t="str">
        <x:f>IF($A62="","",XLOOKUP($A62,Fixtures!$A$5:$A$204,Fixtures!$B$5:$B$204,""))</x:f>
      </x:c>
      <x:c r="C62" s="38" t="str">
        <x:f>IF($A62="","",XLOOKUP($A62,Fixtures!$A$5:$A$204,Fixtures!$D$5:$D$204,""))</x:f>
      </x:c>
      <x:c r="D62" s="38" t="str">
        <x:f>IF($A62="","",XLOOKUP($A62,Fixtures!$A$5:$A$204,Fixtures!$E$5:$E$204,""))</x:f>
      </x:c>
      <x:c r="E62" s="38" t="str">
        <x:f>IF($A62="","",XLOOKUP($A62,Fixtures!$A$5:$A$204,Fixtures!$F$5:$F$204,""))</x:f>
      </x:c>
      <x:c r="F62" s="38" t="str">
        <x:f>IF($A62="","",XLOOKUP($A62,Fixtures!$A$5:$A$204,Fixtures!$G$5:$G$204,""))</x:f>
      </x:c>
      <x:c r="G62" s="38" t="str">
        <x:f>IF($A62="","",IFERROR(INDEX(FILTER('Result Review'!$X$5:$X$204,'Result Review'!$D$5:$D$204=$A62,'Result Review'!$R$5:$R$204="Approved Current"),1),""))</x:f>
      </x:c>
      <x:c r="H62" s="38" t="str">
        <x:f>IF($A62="","",IFERROR(INDEX(FILTER('Result Review'!$Y$5:$Y$204,'Result Review'!$D$5:$D$204=$A62,'Result Review'!$R$5:$R$204="Approved Current"),1),""))</x:f>
      </x:c>
      <x:c r="I62" s="38" t="str">
        <x:f>IF($A62="","",IFERROR(INDEX(FILTER('Result Review'!$J$5:$J$204,'Result Review'!$D$5:$D$204=$A62,'Result Review'!$R$5:$R$204="Approved Current"),1),""))</x:f>
      </x:c>
      <x:c r="J62" s="38" t="str">
        <x:f>IF($A62="","",IFERROR(INDEX(FILTER('Result Review'!$K$5:$K$204,'Result Review'!$D$5:$D$204=$A62,'Result Review'!$R$5:$R$204="Approved Current"),1),""))</x:f>
      </x:c>
      <x:c r="K62" s="38" t="str">
        <x:f>IF($A62="","",IFERROR(INDEX(FILTER('Result Review'!$Z$5:$Z$204,'Result Review'!$D$5:$D$204=$A62,'Result Review'!$R$5:$R$204="Approved Current"),1),""))</x:f>
      </x:c>
      <x:c r="L62" s="60" t="str">
        <x:f>IF($A62="","",IFERROR(INDEX(FILTER('Result Review'!$L$5:$L$204,'Result Review'!$D$5:$D$204=$A62,'Result Review'!$R$5:$R$204="Approved Current"),1),""))</x:f>
      </x:c>
      <x:c r="M62" s="38" t="str">
        <x:f>IF($A62="","",IFERROR(INDEX(FILTER('Result Review'!$B$5:$B$204,'Result Review'!$D$5:$D$204=$A62,'Result Review'!$R$5:$R$204="Approved Current"),1),""))</x:f>
      </x:c>
      <x:c r="N62" s="38" t="str">
        <x:f>IF($A62="","","Approved Current")</x:f>
      </x:c>
      <x:c r="O62" s="49" t="str">
        <x:f>IF($A62="","","Derived from Result Review row "&amp;M62)</x:f>
      </x:c>
    </x:row>
    <x:row r="63" ht="15" hidden="0" customHeight="1">
      <x:c r="A63" s="48" t="str">
        <x:f>IF(Fixtures!A63="","",IF(COUNTIFS('Result Review'!$D$5:$D$204,Fixtures!A63,'Result Review'!$R$5:$R$204,"Approved Current")=1,Fixtures!A63,""))</x:f>
      </x:c>
      <x:c r="B63" s="38" t="str">
        <x:f>IF($A63="","",XLOOKUP($A63,Fixtures!$A$5:$A$204,Fixtures!$B$5:$B$204,""))</x:f>
      </x:c>
      <x:c r="C63" s="38" t="str">
        <x:f>IF($A63="","",XLOOKUP($A63,Fixtures!$A$5:$A$204,Fixtures!$D$5:$D$204,""))</x:f>
      </x:c>
      <x:c r="D63" s="38" t="str">
        <x:f>IF($A63="","",XLOOKUP($A63,Fixtures!$A$5:$A$204,Fixtures!$E$5:$E$204,""))</x:f>
      </x:c>
      <x:c r="E63" s="38" t="str">
        <x:f>IF($A63="","",XLOOKUP($A63,Fixtures!$A$5:$A$204,Fixtures!$F$5:$F$204,""))</x:f>
      </x:c>
      <x:c r="F63" s="38" t="str">
        <x:f>IF($A63="","",XLOOKUP($A63,Fixtures!$A$5:$A$204,Fixtures!$G$5:$G$204,""))</x:f>
      </x:c>
      <x:c r="G63" s="38" t="str">
        <x:f>IF($A63="","",IFERROR(INDEX(FILTER('Result Review'!$X$5:$X$204,'Result Review'!$D$5:$D$204=$A63,'Result Review'!$R$5:$R$204="Approved Current"),1),""))</x:f>
      </x:c>
      <x:c r="H63" s="38" t="str">
        <x:f>IF($A63="","",IFERROR(INDEX(FILTER('Result Review'!$Y$5:$Y$204,'Result Review'!$D$5:$D$204=$A63,'Result Review'!$R$5:$R$204="Approved Current"),1),""))</x:f>
      </x:c>
      <x:c r="I63" s="38" t="str">
        <x:f>IF($A63="","",IFERROR(INDEX(FILTER('Result Review'!$J$5:$J$204,'Result Review'!$D$5:$D$204=$A63,'Result Review'!$R$5:$R$204="Approved Current"),1),""))</x:f>
      </x:c>
      <x:c r="J63" s="38" t="str">
        <x:f>IF($A63="","",IFERROR(INDEX(FILTER('Result Review'!$K$5:$K$204,'Result Review'!$D$5:$D$204=$A63,'Result Review'!$R$5:$R$204="Approved Current"),1),""))</x:f>
      </x:c>
      <x:c r="K63" s="38" t="str">
        <x:f>IF($A63="","",IFERROR(INDEX(FILTER('Result Review'!$Z$5:$Z$204,'Result Review'!$D$5:$D$204=$A63,'Result Review'!$R$5:$R$204="Approved Current"),1),""))</x:f>
      </x:c>
      <x:c r="L63" s="60" t="str">
        <x:f>IF($A63="","",IFERROR(INDEX(FILTER('Result Review'!$L$5:$L$204,'Result Review'!$D$5:$D$204=$A63,'Result Review'!$R$5:$R$204="Approved Current"),1),""))</x:f>
      </x:c>
      <x:c r="M63" s="38" t="str">
        <x:f>IF($A63="","",IFERROR(INDEX(FILTER('Result Review'!$B$5:$B$204,'Result Review'!$D$5:$D$204=$A63,'Result Review'!$R$5:$R$204="Approved Current"),1),""))</x:f>
      </x:c>
      <x:c r="N63" s="38" t="str">
        <x:f>IF($A63="","","Approved Current")</x:f>
      </x:c>
      <x:c r="O63" s="49" t="str">
        <x:f>IF($A63="","","Derived from Result Review row "&amp;M63)</x:f>
      </x:c>
    </x:row>
    <x:row r="64" ht="15" hidden="0" customHeight="1">
      <x:c r="A64" s="48" t="str">
        <x:f>IF(Fixtures!A64="","",IF(COUNTIFS('Result Review'!$D$5:$D$204,Fixtures!A64,'Result Review'!$R$5:$R$204,"Approved Current")=1,Fixtures!A64,""))</x:f>
      </x:c>
      <x:c r="B64" s="38" t="str">
        <x:f>IF($A64="","",XLOOKUP($A64,Fixtures!$A$5:$A$204,Fixtures!$B$5:$B$204,""))</x:f>
      </x:c>
      <x:c r="C64" s="38" t="str">
        <x:f>IF($A64="","",XLOOKUP($A64,Fixtures!$A$5:$A$204,Fixtures!$D$5:$D$204,""))</x:f>
      </x:c>
      <x:c r="D64" s="38" t="str">
        <x:f>IF($A64="","",XLOOKUP($A64,Fixtures!$A$5:$A$204,Fixtures!$E$5:$E$204,""))</x:f>
      </x:c>
      <x:c r="E64" s="38" t="str">
        <x:f>IF($A64="","",XLOOKUP($A64,Fixtures!$A$5:$A$204,Fixtures!$F$5:$F$204,""))</x:f>
      </x:c>
      <x:c r="F64" s="38" t="str">
        <x:f>IF($A64="","",XLOOKUP($A64,Fixtures!$A$5:$A$204,Fixtures!$G$5:$G$204,""))</x:f>
      </x:c>
      <x:c r="G64" s="38" t="str">
        <x:f>IF($A64="","",IFERROR(INDEX(FILTER('Result Review'!$X$5:$X$204,'Result Review'!$D$5:$D$204=$A64,'Result Review'!$R$5:$R$204="Approved Current"),1),""))</x:f>
      </x:c>
      <x:c r="H64" s="38" t="str">
        <x:f>IF($A64="","",IFERROR(INDEX(FILTER('Result Review'!$Y$5:$Y$204,'Result Review'!$D$5:$D$204=$A64,'Result Review'!$R$5:$R$204="Approved Current"),1),""))</x:f>
      </x:c>
      <x:c r="I64" s="38" t="str">
        <x:f>IF($A64="","",IFERROR(INDEX(FILTER('Result Review'!$J$5:$J$204,'Result Review'!$D$5:$D$204=$A64,'Result Review'!$R$5:$R$204="Approved Current"),1),""))</x:f>
      </x:c>
      <x:c r="J64" s="38" t="str">
        <x:f>IF($A64="","",IFERROR(INDEX(FILTER('Result Review'!$K$5:$K$204,'Result Review'!$D$5:$D$204=$A64,'Result Review'!$R$5:$R$204="Approved Current"),1),""))</x:f>
      </x:c>
      <x:c r="K64" s="38" t="str">
        <x:f>IF($A64="","",IFERROR(INDEX(FILTER('Result Review'!$Z$5:$Z$204,'Result Review'!$D$5:$D$204=$A64,'Result Review'!$R$5:$R$204="Approved Current"),1),""))</x:f>
      </x:c>
      <x:c r="L64" s="60" t="str">
        <x:f>IF($A64="","",IFERROR(INDEX(FILTER('Result Review'!$L$5:$L$204,'Result Review'!$D$5:$D$204=$A64,'Result Review'!$R$5:$R$204="Approved Current"),1),""))</x:f>
      </x:c>
      <x:c r="M64" s="38" t="str">
        <x:f>IF($A64="","",IFERROR(INDEX(FILTER('Result Review'!$B$5:$B$204,'Result Review'!$D$5:$D$204=$A64,'Result Review'!$R$5:$R$204="Approved Current"),1),""))</x:f>
      </x:c>
      <x:c r="N64" s="38" t="str">
        <x:f>IF($A64="","","Approved Current")</x:f>
      </x:c>
      <x:c r="O64" s="49" t="str">
        <x:f>IF($A64="","","Derived from Result Review row "&amp;M64)</x:f>
      </x:c>
    </x:row>
    <x:row r="65" ht="15" hidden="0" customHeight="1">
      <x:c r="A65" s="48" t="str">
        <x:f>IF(Fixtures!A65="","",IF(COUNTIFS('Result Review'!$D$5:$D$204,Fixtures!A65,'Result Review'!$R$5:$R$204,"Approved Current")=1,Fixtures!A65,""))</x:f>
      </x:c>
      <x:c r="B65" s="38" t="str">
        <x:f>IF($A65="","",XLOOKUP($A65,Fixtures!$A$5:$A$204,Fixtures!$B$5:$B$204,""))</x:f>
      </x:c>
      <x:c r="C65" s="38" t="str">
        <x:f>IF($A65="","",XLOOKUP($A65,Fixtures!$A$5:$A$204,Fixtures!$D$5:$D$204,""))</x:f>
      </x:c>
      <x:c r="D65" s="38" t="str">
        <x:f>IF($A65="","",XLOOKUP($A65,Fixtures!$A$5:$A$204,Fixtures!$E$5:$E$204,""))</x:f>
      </x:c>
      <x:c r="E65" s="38" t="str">
        <x:f>IF($A65="","",XLOOKUP($A65,Fixtures!$A$5:$A$204,Fixtures!$F$5:$F$204,""))</x:f>
      </x:c>
      <x:c r="F65" s="38" t="str">
        <x:f>IF($A65="","",XLOOKUP($A65,Fixtures!$A$5:$A$204,Fixtures!$G$5:$G$204,""))</x:f>
      </x:c>
      <x:c r="G65" s="38" t="str">
        <x:f>IF($A65="","",IFERROR(INDEX(FILTER('Result Review'!$X$5:$X$204,'Result Review'!$D$5:$D$204=$A65,'Result Review'!$R$5:$R$204="Approved Current"),1),""))</x:f>
      </x:c>
      <x:c r="H65" s="38" t="str">
        <x:f>IF($A65="","",IFERROR(INDEX(FILTER('Result Review'!$Y$5:$Y$204,'Result Review'!$D$5:$D$204=$A65,'Result Review'!$R$5:$R$204="Approved Current"),1),""))</x:f>
      </x:c>
      <x:c r="I65" s="38" t="str">
        <x:f>IF($A65="","",IFERROR(INDEX(FILTER('Result Review'!$J$5:$J$204,'Result Review'!$D$5:$D$204=$A65,'Result Review'!$R$5:$R$204="Approved Current"),1),""))</x:f>
      </x:c>
      <x:c r="J65" s="38" t="str">
        <x:f>IF($A65="","",IFERROR(INDEX(FILTER('Result Review'!$K$5:$K$204,'Result Review'!$D$5:$D$204=$A65,'Result Review'!$R$5:$R$204="Approved Current"),1),""))</x:f>
      </x:c>
      <x:c r="K65" s="38" t="str">
        <x:f>IF($A65="","",IFERROR(INDEX(FILTER('Result Review'!$Z$5:$Z$204,'Result Review'!$D$5:$D$204=$A65,'Result Review'!$R$5:$R$204="Approved Current"),1),""))</x:f>
      </x:c>
      <x:c r="L65" s="60" t="str">
        <x:f>IF($A65="","",IFERROR(INDEX(FILTER('Result Review'!$L$5:$L$204,'Result Review'!$D$5:$D$204=$A65,'Result Review'!$R$5:$R$204="Approved Current"),1),""))</x:f>
      </x:c>
      <x:c r="M65" s="38" t="str">
        <x:f>IF($A65="","",IFERROR(INDEX(FILTER('Result Review'!$B$5:$B$204,'Result Review'!$D$5:$D$204=$A65,'Result Review'!$R$5:$R$204="Approved Current"),1),""))</x:f>
      </x:c>
      <x:c r="N65" s="38" t="str">
        <x:f>IF($A65="","","Approved Current")</x:f>
      </x:c>
      <x:c r="O65" s="49" t="str">
        <x:f>IF($A65="","","Derived from Result Review row "&amp;M65)</x:f>
      </x:c>
    </x:row>
    <x:row r="66" ht="15" hidden="0" customHeight="1">
      <x:c r="A66" s="48" t="str">
        <x:f>IF(Fixtures!A66="","",IF(COUNTIFS('Result Review'!$D$5:$D$204,Fixtures!A66,'Result Review'!$R$5:$R$204,"Approved Current")=1,Fixtures!A66,""))</x:f>
      </x:c>
      <x:c r="B66" s="38" t="str">
        <x:f>IF($A66="","",XLOOKUP($A66,Fixtures!$A$5:$A$204,Fixtures!$B$5:$B$204,""))</x:f>
      </x:c>
      <x:c r="C66" s="38" t="str">
        <x:f>IF($A66="","",XLOOKUP($A66,Fixtures!$A$5:$A$204,Fixtures!$D$5:$D$204,""))</x:f>
      </x:c>
      <x:c r="D66" s="38" t="str">
        <x:f>IF($A66="","",XLOOKUP($A66,Fixtures!$A$5:$A$204,Fixtures!$E$5:$E$204,""))</x:f>
      </x:c>
      <x:c r="E66" s="38" t="str">
        <x:f>IF($A66="","",XLOOKUP($A66,Fixtures!$A$5:$A$204,Fixtures!$F$5:$F$204,""))</x:f>
      </x:c>
      <x:c r="F66" s="38" t="str">
        <x:f>IF($A66="","",XLOOKUP($A66,Fixtures!$A$5:$A$204,Fixtures!$G$5:$G$204,""))</x:f>
      </x:c>
      <x:c r="G66" s="38" t="str">
        <x:f>IF($A66="","",IFERROR(INDEX(FILTER('Result Review'!$X$5:$X$204,'Result Review'!$D$5:$D$204=$A66,'Result Review'!$R$5:$R$204="Approved Current"),1),""))</x:f>
      </x:c>
      <x:c r="H66" s="38" t="str">
        <x:f>IF($A66="","",IFERROR(INDEX(FILTER('Result Review'!$Y$5:$Y$204,'Result Review'!$D$5:$D$204=$A66,'Result Review'!$R$5:$R$204="Approved Current"),1),""))</x:f>
      </x:c>
      <x:c r="I66" s="38" t="str">
        <x:f>IF($A66="","",IFERROR(INDEX(FILTER('Result Review'!$J$5:$J$204,'Result Review'!$D$5:$D$204=$A66,'Result Review'!$R$5:$R$204="Approved Current"),1),""))</x:f>
      </x:c>
      <x:c r="J66" s="38" t="str">
        <x:f>IF($A66="","",IFERROR(INDEX(FILTER('Result Review'!$K$5:$K$204,'Result Review'!$D$5:$D$204=$A66,'Result Review'!$R$5:$R$204="Approved Current"),1),""))</x:f>
      </x:c>
      <x:c r="K66" s="38" t="str">
        <x:f>IF($A66="","",IFERROR(INDEX(FILTER('Result Review'!$Z$5:$Z$204,'Result Review'!$D$5:$D$204=$A66,'Result Review'!$R$5:$R$204="Approved Current"),1),""))</x:f>
      </x:c>
      <x:c r="L66" s="60" t="str">
        <x:f>IF($A66="","",IFERROR(INDEX(FILTER('Result Review'!$L$5:$L$204,'Result Review'!$D$5:$D$204=$A66,'Result Review'!$R$5:$R$204="Approved Current"),1),""))</x:f>
      </x:c>
      <x:c r="M66" s="38" t="str">
        <x:f>IF($A66="","",IFERROR(INDEX(FILTER('Result Review'!$B$5:$B$204,'Result Review'!$D$5:$D$204=$A66,'Result Review'!$R$5:$R$204="Approved Current"),1),""))</x:f>
      </x:c>
      <x:c r="N66" s="38" t="str">
        <x:f>IF($A66="","","Approved Current")</x:f>
      </x:c>
      <x:c r="O66" s="49" t="str">
        <x:f>IF($A66="","","Derived from Result Review row "&amp;M66)</x:f>
      </x:c>
    </x:row>
    <x:row r="67" ht="15" hidden="0" customHeight="1">
      <x:c r="A67" s="48" t="str">
        <x:f>IF(Fixtures!A67="","",IF(COUNTIFS('Result Review'!$D$5:$D$204,Fixtures!A67,'Result Review'!$R$5:$R$204,"Approved Current")=1,Fixtures!A67,""))</x:f>
      </x:c>
      <x:c r="B67" s="38" t="str">
        <x:f>IF($A67="","",XLOOKUP($A67,Fixtures!$A$5:$A$204,Fixtures!$B$5:$B$204,""))</x:f>
      </x:c>
      <x:c r="C67" s="38" t="str">
        <x:f>IF($A67="","",XLOOKUP($A67,Fixtures!$A$5:$A$204,Fixtures!$D$5:$D$204,""))</x:f>
      </x:c>
      <x:c r="D67" s="38" t="str">
        <x:f>IF($A67="","",XLOOKUP($A67,Fixtures!$A$5:$A$204,Fixtures!$E$5:$E$204,""))</x:f>
      </x:c>
      <x:c r="E67" s="38" t="str">
        <x:f>IF($A67="","",XLOOKUP($A67,Fixtures!$A$5:$A$204,Fixtures!$F$5:$F$204,""))</x:f>
      </x:c>
      <x:c r="F67" s="38" t="str">
        <x:f>IF($A67="","",XLOOKUP($A67,Fixtures!$A$5:$A$204,Fixtures!$G$5:$G$204,""))</x:f>
      </x:c>
      <x:c r="G67" s="38" t="str">
        <x:f>IF($A67="","",IFERROR(INDEX(FILTER('Result Review'!$X$5:$X$204,'Result Review'!$D$5:$D$204=$A67,'Result Review'!$R$5:$R$204="Approved Current"),1),""))</x:f>
      </x:c>
      <x:c r="H67" s="38" t="str">
        <x:f>IF($A67="","",IFERROR(INDEX(FILTER('Result Review'!$Y$5:$Y$204,'Result Review'!$D$5:$D$204=$A67,'Result Review'!$R$5:$R$204="Approved Current"),1),""))</x:f>
      </x:c>
      <x:c r="I67" s="38" t="str">
        <x:f>IF($A67="","",IFERROR(INDEX(FILTER('Result Review'!$J$5:$J$204,'Result Review'!$D$5:$D$204=$A67,'Result Review'!$R$5:$R$204="Approved Current"),1),""))</x:f>
      </x:c>
      <x:c r="J67" s="38" t="str">
        <x:f>IF($A67="","",IFERROR(INDEX(FILTER('Result Review'!$K$5:$K$204,'Result Review'!$D$5:$D$204=$A67,'Result Review'!$R$5:$R$204="Approved Current"),1),""))</x:f>
      </x:c>
      <x:c r="K67" s="38" t="str">
        <x:f>IF($A67="","",IFERROR(INDEX(FILTER('Result Review'!$Z$5:$Z$204,'Result Review'!$D$5:$D$204=$A67,'Result Review'!$R$5:$R$204="Approved Current"),1),""))</x:f>
      </x:c>
      <x:c r="L67" s="60" t="str">
        <x:f>IF($A67="","",IFERROR(INDEX(FILTER('Result Review'!$L$5:$L$204,'Result Review'!$D$5:$D$204=$A67,'Result Review'!$R$5:$R$204="Approved Current"),1),""))</x:f>
      </x:c>
      <x:c r="M67" s="38" t="str">
        <x:f>IF($A67="","",IFERROR(INDEX(FILTER('Result Review'!$B$5:$B$204,'Result Review'!$D$5:$D$204=$A67,'Result Review'!$R$5:$R$204="Approved Current"),1),""))</x:f>
      </x:c>
      <x:c r="N67" s="38" t="str">
        <x:f>IF($A67="","","Approved Current")</x:f>
      </x:c>
      <x:c r="O67" s="49" t="str">
        <x:f>IF($A67="","","Derived from Result Review row "&amp;M67)</x:f>
      </x:c>
    </x:row>
    <x:row r="68" ht="15" hidden="0" customHeight="1">
      <x:c r="A68" s="48" t="str">
        <x:f>IF(Fixtures!A68="","",IF(COUNTIFS('Result Review'!$D$5:$D$204,Fixtures!A68,'Result Review'!$R$5:$R$204,"Approved Current")=1,Fixtures!A68,""))</x:f>
      </x:c>
      <x:c r="B68" s="38" t="str">
        <x:f>IF($A68="","",XLOOKUP($A68,Fixtures!$A$5:$A$204,Fixtures!$B$5:$B$204,""))</x:f>
      </x:c>
      <x:c r="C68" s="38" t="str">
        <x:f>IF($A68="","",XLOOKUP($A68,Fixtures!$A$5:$A$204,Fixtures!$D$5:$D$204,""))</x:f>
      </x:c>
      <x:c r="D68" s="38" t="str">
        <x:f>IF($A68="","",XLOOKUP($A68,Fixtures!$A$5:$A$204,Fixtures!$E$5:$E$204,""))</x:f>
      </x:c>
      <x:c r="E68" s="38" t="str">
        <x:f>IF($A68="","",XLOOKUP($A68,Fixtures!$A$5:$A$204,Fixtures!$F$5:$F$204,""))</x:f>
      </x:c>
      <x:c r="F68" s="38" t="str">
        <x:f>IF($A68="","",XLOOKUP($A68,Fixtures!$A$5:$A$204,Fixtures!$G$5:$G$204,""))</x:f>
      </x:c>
      <x:c r="G68" s="38" t="str">
        <x:f>IF($A68="","",IFERROR(INDEX(FILTER('Result Review'!$X$5:$X$204,'Result Review'!$D$5:$D$204=$A68,'Result Review'!$R$5:$R$204="Approved Current"),1),""))</x:f>
      </x:c>
      <x:c r="H68" s="38" t="str">
        <x:f>IF($A68="","",IFERROR(INDEX(FILTER('Result Review'!$Y$5:$Y$204,'Result Review'!$D$5:$D$204=$A68,'Result Review'!$R$5:$R$204="Approved Current"),1),""))</x:f>
      </x:c>
      <x:c r="I68" s="38" t="str">
        <x:f>IF($A68="","",IFERROR(INDEX(FILTER('Result Review'!$J$5:$J$204,'Result Review'!$D$5:$D$204=$A68,'Result Review'!$R$5:$R$204="Approved Current"),1),""))</x:f>
      </x:c>
      <x:c r="J68" s="38" t="str">
        <x:f>IF($A68="","",IFERROR(INDEX(FILTER('Result Review'!$K$5:$K$204,'Result Review'!$D$5:$D$204=$A68,'Result Review'!$R$5:$R$204="Approved Current"),1),""))</x:f>
      </x:c>
      <x:c r="K68" s="38" t="str">
        <x:f>IF($A68="","",IFERROR(INDEX(FILTER('Result Review'!$Z$5:$Z$204,'Result Review'!$D$5:$D$204=$A68,'Result Review'!$R$5:$R$204="Approved Current"),1),""))</x:f>
      </x:c>
      <x:c r="L68" s="60" t="str">
        <x:f>IF($A68="","",IFERROR(INDEX(FILTER('Result Review'!$L$5:$L$204,'Result Review'!$D$5:$D$204=$A68,'Result Review'!$R$5:$R$204="Approved Current"),1),""))</x:f>
      </x:c>
      <x:c r="M68" s="38" t="str">
        <x:f>IF($A68="","",IFERROR(INDEX(FILTER('Result Review'!$B$5:$B$204,'Result Review'!$D$5:$D$204=$A68,'Result Review'!$R$5:$R$204="Approved Current"),1),""))</x:f>
      </x:c>
      <x:c r="N68" s="38" t="str">
        <x:f>IF($A68="","","Approved Current")</x:f>
      </x:c>
      <x:c r="O68" s="49" t="str">
        <x:f>IF($A68="","","Derived from Result Review row "&amp;M68)</x:f>
      </x:c>
    </x:row>
    <x:row r="69" ht="15" hidden="0" customHeight="1">
      <x:c r="A69" s="48" t="str">
        <x:f>IF(Fixtures!A69="","",IF(COUNTIFS('Result Review'!$D$5:$D$204,Fixtures!A69,'Result Review'!$R$5:$R$204,"Approved Current")=1,Fixtures!A69,""))</x:f>
      </x:c>
      <x:c r="B69" s="38" t="str">
        <x:f>IF($A69="","",XLOOKUP($A69,Fixtures!$A$5:$A$204,Fixtures!$B$5:$B$204,""))</x:f>
      </x:c>
      <x:c r="C69" s="38" t="str">
        <x:f>IF($A69="","",XLOOKUP($A69,Fixtures!$A$5:$A$204,Fixtures!$D$5:$D$204,""))</x:f>
      </x:c>
      <x:c r="D69" s="38" t="str">
        <x:f>IF($A69="","",XLOOKUP($A69,Fixtures!$A$5:$A$204,Fixtures!$E$5:$E$204,""))</x:f>
      </x:c>
      <x:c r="E69" s="38" t="str">
        <x:f>IF($A69="","",XLOOKUP($A69,Fixtures!$A$5:$A$204,Fixtures!$F$5:$F$204,""))</x:f>
      </x:c>
      <x:c r="F69" s="38" t="str">
        <x:f>IF($A69="","",XLOOKUP($A69,Fixtures!$A$5:$A$204,Fixtures!$G$5:$G$204,""))</x:f>
      </x:c>
      <x:c r="G69" s="38" t="str">
        <x:f>IF($A69="","",IFERROR(INDEX(FILTER('Result Review'!$X$5:$X$204,'Result Review'!$D$5:$D$204=$A69,'Result Review'!$R$5:$R$204="Approved Current"),1),""))</x:f>
      </x:c>
      <x:c r="H69" s="38" t="str">
        <x:f>IF($A69="","",IFERROR(INDEX(FILTER('Result Review'!$Y$5:$Y$204,'Result Review'!$D$5:$D$204=$A69,'Result Review'!$R$5:$R$204="Approved Current"),1),""))</x:f>
      </x:c>
      <x:c r="I69" s="38" t="str">
        <x:f>IF($A69="","",IFERROR(INDEX(FILTER('Result Review'!$J$5:$J$204,'Result Review'!$D$5:$D$204=$A69,'Result Review'!$R$5:$R$204="Approved Current"),1),""))</x:f>
      </x:c>
      <x:c r="J69" s="38" t="str">
        <x:f>IF($A69="","",IFERROR(INDEX(FILTER('Result Review'!$K$5:$K$204,'Result Review'!$D$5:$D$204=$A69,'Result Review'!$R$5:$R$204="Approved Current"),1),""))</x:f>
      </x:c>
      <x:c r="K69" s="38" t="str">
        <x:f>IF($A69="","",IFERROR(INDEX(FILTER('Result Review'!$Z$5:$Z$204,'Result Review'!$D$5:$D$204=$A69,'Result Review'!$R$5:$R$204="Approved Current"),1),""))</x:f>
      </x:c>
      <x:c r="L69" s="60" t="str">
        <x:f>IF($A69="","",IFERROR(INDEX(FILTER('Result Review'!$L$5:$L$204,'Result Review'!$D$5:$D$204=$A69,'Result Review'!$R$5:$R$204="Approved Current"),1),""))</x:f>
      </x:c>
      <x:c r="M69" s="38" t="str">
        <x:f>IF($A69="","",IFERROR(INDEX(FILTER('Result Review'!$B$5:$B$204,'Result Review'!$D$5:$D$204=$A69,'Result Review'!$R$5:$R$204="Approved Current"),1),""))</x:f>
      </x:c>
      <x:c r="N69" s="38" t="str">
        <x:f>IF($A69="","","Approved Current")</x:f>
      </x:c>
      <x:c r="O69" s="49" t="str">
        <x:f>IF($A69="","","Derived from Result Review row "&amp;M69)</x:f>
      </x:c>
    </x:row>
    <x:row r="70" ht="15" hidden="0" customHeight="1">
      <x:c r="A70" s="48" t="str">
        <x:f>IF(Fixtures!A70="","",IF(COUNTIFS('Result Review'!$D$5:$D$204,Fixtures!A70,'Result Review'!$R$5:$R$204,"Approved Current")=1,Fixtures!A70,""))</x:f>
      </x:c>
      <x:c r="B70" s="38" t="str">
        <x:f>IF($A70="","",XLOOKUP($A70,Fixtures!$A$5:$A$204,Fixtures!$B$5:$B$204,""))</x:f>
      </x:c>
      <x:c r="C70" s="38" t="str">
        <x:f>IF($A70="","",XLOOKUP($A70,Fixtures!$A$5:$A$204,Fixtures!$D$5:$D$204,""))</x:f>
      </x:c>
      <x:c r="D70" s="38" t="str">
        <x:f>IF($A70="","",XLOOKUP($A70,Fixtures!$A$5:$A$204,Fixtures!$E$5:$E$204,""))</x:f>
      </x:c>
      <x:c r="E70" s="38" t="str">
        <x:f>IF($A70="","",XLOOKUP($A70,Fixtures!$A$5:$A$204,Fixtures!$F$5:$F$204,""))</x:f>
      </x:c>
      <x:c r="F70" s="38" t="str">
        <x:f>IF($A70="","",XLOOKUP($A70,Fixtures!$A$5:$A$204,Fixtures!$G$5:$G$204,""))</x:f>
      </x:c>
      <x:c r="G70" s="38" t="str">
        <x:f>IF($A70="","",IFERROR(INDEX(FILTER('Result Review'!$X$5:$X$204,'Result Review'!$D$5:$D$204=$A70,'Result Review'!$R$5:$R$204="Approved Current"),1),""))</x:f>
      </x:c>
      <x:c r="H70" s="38" t="str">
        <x:f>IF($A70="","",IFERROR(INDEX(FILTER('Result Review'!$Y$5:$Y$204,'Result Review'!$D$5:$D$204=$A70,'Result Review'!$R$5:$R$204="Approved Current"),1),""))</x:f>
      </x:c>
      <x:c r="I70" s="38" t="str">
        <x:f>IF($A70="","",IFERROR(INDEX(FILTER('Result Review'!$J$5:$J$204,'Result Review'!$D$5:$D$204=$A70,'Result Review'!$R$5:$R$204="Approved Current"),1),""))</x:f>
      </x:c>
      <x:c r="J70" s="38" t="str">
        <x:f>IF($A70="","",IFERROR(INDEX(FILTER('Result Review'!$K$5:$K$204,'Result Review'!$D$5:$D$204=$A70,'Result Review'!$R$5:$R$204="Approved Current"),1),""))</x:f>
      </x:c>
      <x:c r="K70" s="38" t="str">
        <x:f>IF($A70="","",IFERROR(INDEX(FILTER('Result Review'!$Z$5:$Z$204,'Result Review'!$D$5:$D$204=$A70,'Result Review'!$R$5:$R$204="Approved Current"),1),""))</x:f>
      </x:c>
      <x:c r="L70" s="60" t="str">
        <x:f>IF($A70="","",IFERROR(INDEX(FILTER('Result Review'!$L$5:$L$204,'Result Review'!$D$5:$D$204=$A70,'Result Review'!$R$5:$R$204="Approved Current"),1),""))</x:f>
      </x:c>
      <x:c r="M70" s="38" t="str">
        <x:f>IF($A70="","",IFERROR(INDEX(FILTER('Result Review'!$B$5:$B$204,'Result Review'!$D$5:$D$204=$A70,'Result Review'!$R$5:$R$204="Approved Current"),1),""))</x:f>
      </x:c>
      <x:c r="N70" s="38" t="str">
        <x:f>IF($A70="","","Approved Current")</x:f>
      </x:c>
      <x:c r="O70" s="49" t="str">
        <x:f>IF($A70="","","Derived from Result Review row "&amp;M70)</x:f>
      </x:c>
    </x:row>
    <x:row r="71" ht="15" hidden="0" customHeight="1">
      <x:c r="A71" s="48" t="str">
        <x:f>IF(Fixtures!A71="","",IF(COUNTIFS('Result Review'!$D$5:$D$204,Fixtures!A71,'Result Review'!$R$5:$R$204,"Approved Current")=1,Fixtures!A71,""))</x:f>
      </x:c>
      <x:c r="B71" s="38" t="str">
        <x:f>IF($A71="","",XLOOKUP($A71,Fixtures!$A$5:$A$204,Fixtures!$B$5:$B$204,""))</x:f>
      </x:c>
      <x:c r="C71" s="38" t="str">
        <x:f>IF($A71="","",XLOOKUP($A71,Fixtures!$A$5:$A$204,Fixtures!$D$5:$D$204,""))</x:f>
      </x:c>
      <x:c r="D71" s="38" t="str">
        <x:f>IF($A71="","",XLOOKUP($A71,Fixtures!$A$5:$A$204,Fixtures!$E$5:$E$204,""))</x:f>
      </x:c>
      <x:c r="E71" s="38" t="str">
        <x:f>IF($A71="","",XLOOKUP($A71,Fixtures!$A$5:$A$204,Fixtures!$F$5:$F$204,""))</x:f>
      </x:c>
      <x:c r="F71" s="38" t="str">
        <x:f>IF($A71="","",XLOOKUP($A71,Fixtures!$A$5:$A$204,Fixtures!$G$5:$G$204,""))</x:f>
      </x:c>
      <x:c r="G71" s="38" t="str">
        <x:f>IF($A71="","",IFERROR(INDEX(FILTER('Result Review'!$X$5:$X$204,'Result Review'!$D$5:$D$204=$A71,'Result Review'!$R$5:$R$204="Approved Current"),1),""))</x:f>
      </x:c>
      <x:c r="H71" s="38" t="str">
        <x:f>IF($A71="","",IFERROR(INDEX(FILTER('Result Review'!$Y$5:$Y$204,'Result Review'!$D$5:$D$204=$A71,'Result Review'!$R$5:$R$204="Approved Current"),1),""))</x:f>
      </x:c>
      <x:c r="I71" s="38" t="str">
        <x:f>IF($A71="","",IFERROR(INDEX(FILTER('Result Review'!$J$5:$J$204,'Result Review'!$D$5:$D$204=$A71,'Result Review'!$R$5:$R$204="Approved Current"),1),""))</x:f>
      </x:c>
      <x:c r="J71" s="38" t="str">
        <x:f>IF($A71="","",IFERROR(INDEX(FILTER('Result Review'!$K$5:$K$204,'Result Review'!$D$5:$D$204=$A71,'Result Review'!$R$5:$R$204="Approved Current"),1),""))</x:f>
      </x:c>
      <x:c r="K71" s="38" t="str">
        <x:f>IF($A71="","",IFERROR(INDEX(FILTER('Result Review'!$Z$5:$Z$204,'Result Review'!$D$5:$D$204=$A71,'Result Review'!$R$5:$R$204="Approved Current"),1),""))</x:f>
      </x:c>
      <x:c r="L71" s="60" t="str">
        <x:f>IF($A71="","",IFERROR(INDEX(FILTER('Result Review'!$L$5:$L$204,'Result Review'!$D$5:$D$204=$A71,'Result Review'!$R$5:$R$204="Approved Current"),1),""))</x:f>
      </x:c>
      <x:c r="M71" s="38" t="str">
        <x:f>IF($A71="","",IFERROR(INDEX(FILTER('Result Review'!$B$5:$B$204,'Result Review'!$D$5:$D$204=$A71,'Result Review'!$R$5:$R$204="Approved Current"),1),""))</x:f>
      </x:c>
      <x:c r="N71" s="38" t="str">
        <x:f>IF($A71="","","Approved Current")</x:f>
      </x:c>
      <x:c r="O71" s="49" t="str">
        <x:f>IF($A71="","","Derived from Result Review row "&amp;M71)</x:f>
      </x:c>
    </x:row>
    <x:row r="72" ht="15" hidden="0" customHeight="1">
      <x:c r="A72" s="48" t="str">
        <x:f>IF(Fixtures!A72="","",IF(COUNTIFS('Result Review'!$D$5:$D$204,Fixtures!A72,'Result Review'!$R$5:$R$204,"Approved Current")=1,Fixtures!A72,""))</x:f>
      </x:c>
      <x:c r="B72" s="38" t="str">
        <x:f>IF($A72="","",XLOOKUP($A72,Fixtures!$A$5:$A$204,Fixtures!$B$5:$B$204,""))</x:f>
      </x:c>
      <x:c r="C72" s="38" t="str">
        <x:f>IF($A72="","",XLOOKUP($A72,Fixtures!$A$5:$A$204,Fixtures!$D$5:$D$204,""))</x:f>
      </x:c>
      <x:c r="D72" s="38" t="str">
        <x:f>IF($A72="","",XLOOKUP($A72,Fixtures!$A$5:$A$204,Fixtures!$E$5:$E$204,""))</x:f>
      </x:c>
      <x:c r="E72" s="38" t="str">
        <x:f>IF($A72="","",XLOOKUP($A72,Fixtures!$A$5:$A$204,Fixtures!$F$5:$F$204,""))</x:f>
      </x:c>
      <x:c r="F72" s="38" t="str">
        <x:f>IF($A72="","",XLOOKUP($A72,Fixtures!$A$5:$A$204,Fixtures!$G$5:$G$204,""))</x:f>
      </x:c>
      <x:c r="G72" s="38" t="str">
        <x:f>IF($A72="","",IFERROR(INDEX(FILTER('Result Review'!$X$5:$X$204,'Result Review'!$D$5:$D$204=$A72,'Result Review'!$R$5:$R$204="Approved Current"),1),""))</x:f>
      </x:c>
      <x:c r="H72" s="38" t="str">
        <x:f>IF($A72="","",IFERROR(INDEX(FILTER('Result Review'!$Y$5:$Y$204,'Result Review'!$D$5:$D$204=$A72,'Result Review'!$R$5:$R$204="Approved Current"),1),""))</x:f>
      </x:c>
      <x:c r="I72" s="38" t="str">
        <x:f>IF($A72="","",IFERROR(INDEX(FILTER('Result Review'!$J$5:$J$204,'Result Review'!$D$5:$D$204=$A72,'Result Review'!$R$5:$R$204="Approved Current"),1),""))</x:f>
      </x:c>
      <x:c r="J72" s="38" t="str">
        <x:f>IF($A72="","",IFERROR(INDEX(FILTER('Result Review'!$K$5:$K$204,'Result Review'!$D$5:$D$204=$A72,'Result Review'!$R$5:$R$204="Approved Current"),1),""))</x:f>
      </x:c>
      <x:c r="K72" s="38" t="str">
        <x:f>IF($A72="","",IFERROR(INDEX(FILTER('Result Review'!$Z$5:$Z$204,'Result Review'!$D$5:$D$204=$A72,'Result Review'!$R$5:$R$204="Approved Current"),1),""))</x:f>
      </x:c>
      <x:c r="L72" s="60" t="str">
        <x:f>IF($A72="","",IFERROR(INDEX(FILTER('Result Review'!$L$5:$L$204,'Result Review'!$D$5:$D$204=$A72,'Result Review'!$R$5:$R$204="Approved Current"),1),""))</x:f>
      </x:c>
      <x:c r="M72" s="38" t="str">
        <x:f>IF($A72="","",IFERROR(INDEX(FILTER('Result Review'!$B$5:$B$204,'Result Review'!$D$5:$D$204=$A72,'Result Review'!$R$5:$R$204="Approved Current"),1),""))</x:f>
      </x:c>
      <x:c r="N72" s="38" t="str">
        <x:f>IF($A72="","","Approved Current")</x:f>
      </x:c>
      <x:c r="O72" s="49" t="str">
        <x:f>IF($A72="","","Derived from Result Review row "&amp;M72)</x:f>
      </x:c>
    </x:row>
    <x:row r="73" ht="15" hidden="0" customHeight="1">
      <x:c r="A73" s="48" t="str">
        <x:f>IF(Fixtures!A73="","",IF(COUNTIFS('Result Review'!$D$5:$D$204,Fixtures!A73,'Result Review'!$R$5:$R$204,"Approved Current")=1,Fixtures!A73,""))</x:f>
      </x:c>
      <x:c r="B73" s="38" t="str">
        <x:f>IF($A73="","",XLOOKUP($A73,Fixtures!$A$5:$A$204,Fixtures!$B$5:$B$204,""))</x:f>
      </x:c>
      <x:c r="C73" s="38" t="str">
        <x:f>IF($A73="","",XLOOKUP($A73,Fixtures!$A$5:$A$204,Fixtures!$D$5:$D$204,""))</x:f>
      </x:c>
      <x:c r="D73" s="38" t="str">
        <x:f>IF($A73="","",XLOOKUP($A73,Fixtures!$A$5:$A$204,Fixtures!$E$5:$E$204,""))</x:f>
      </x:c>
      <x:c r="E73" s="38" t="str">
        <x:f>IF($A73="","",XLOOKUP($A73,Fixtures!$A$5:$A$204,Fixtures!$F$5:$F$204,""))</x:f>
      </x:c>
      <x:c r="F73" s="38" t="str">
        <x:f>IF($A73="","",XLOOKUP($A73,Fixtures!$A$5:$A$204,Fixtures!$G$5:$G$204,""))</x:f>
      </x:c>
      <x:c r="G73" s="38" t="str">
        <x:f>IF($A73="","",IFERROR(INDEX(FILTER('Result Review'!$X$5:$X$204,'Result Review'!$D$5:$D$204=$A73,'Result Review'!$R$5:$R$204="Approved Current"),1),""))</x:f>
      </x:c>
      <x:c r="H73" s="38" t="str">
        <x:f>IF($A73="","",IFERROR(INDEX(FILTER('Result Review'!$Y$5:$Y$204,'Result Review'!$D$5:$D$204=$A73,'Result Review'!$R$5:$R$204="Approved Current"),1),""))</x:f>
      </x:c>
      <x:c r="I73" s="38" t="str">
        <x:f>IF($A73="","",IFERROR(INDEX(FILTER('Result Review'!$J$5:$J$204,'Result Review'!$D$5:$D$204=$A73,'Result Review'!$R$5:$R$204="Approved Current"),1),""))</x:f>
      </x:c>
      <x:c r="J73" s="38" t="str">
        <x:f>IF($A73="","",IFERROR(INDEX(FILTER('Result Review'!$K$5:$K$204,'Result Review'!$D$5:$D$204=$A73,'Result Review'!$R$5:$R$204="Approved Current"),1),""))</x:f>
      </x:c>
      <x:c r="K73" s="38" t="str">
        <x:f>IF($A73="","",IFERROR(INDEX(FILTER('Result Review'!$Z$5:$Z$204,'Result Review'!$D$5:$D$204=$A73,'Result Review'!$R$5:$R$204="Approved Current"),1),""))</x:f>
      </x:c>
      <x:c r="L73" s="60" t="str">
        <x:f>IF($A73="","",IFERROR(INDEX(FILTER('Result Review'!$L$5:$L$204,'Result Review'!$D$5:$D$204=$A73,'Result Review'!$R$5:$R$204="Approved Current"),1),""))</x:f>
      </x:c>
      <x:c r="M73" s="38" t="str">
        <x:f>IF($A73="","",IFERROR(INDEX(FILTER('Result Review'!$B$5:$B$204,'Result Review'!$D$5:$D$204=$A73,'Result Review'!$R$5:$R$204="Approved Current"),1),""))</x:f>
      </x:c>
      <x:c r="N73" s="38" t="str">
        <x:f>IF($A73="","","Approved Current")</x:f>
      </x:c>
      <x:c r="O73" s="49" t="str">
        <x:f>IF($A73="","","Derived from Result Review row "&amp;M73)</x:f>
      </x:c>
    </x:row>
    <x:row r="74" ht="15" hidden="0" customHeight="1">
      <x:c r="A74" s="48" t="str">
        <x:f>IF(Fixtures!A74="","",IF(COUNTIFS('Result Review'!$D$5:$D$204,Fixtures!A74,'Result Review'!$R$5:$R$204,"Approved Current")=1,Fixtures!A74,""))</x:f>
      </x:c>
      <x:c r="B74" s="38" t="str">
        <x:f>IF($A74="","",XLOOKUP($A74,Fixtures!$A$5:$A$204,Fixtures!$B$5:$B$204,""))</x:f>
      </x:c>
      <x:c r="C74" s="38" t="str">
        <x:f>IF($A74="","",XLOOKUP($A74,Fixtures!$A$5:$A$204,Fixtures!$D$5:$D$204,""))</x:f>
      </x:c>
      <x:c r="D74" s="38" t="str">
        <x:f>IF($A74="","",XLOOKUP($A74,Fixtures!$A$5:$A$204,Fixtures!$E$5:$E$204,""))</x:f>
      </x:c>
      <x:c r="E74" s="38" t="str">
        <x:f>IF($A74="","",XLOOKUP($A74,Fixtures!$A$5:$A$204,Fixtures!$F$5:$F$204,""))</x:f>
      </x:c>
      <x:c r="F74" s="38" t="str">
        <x:f>IF($A74="","",XLOOKUP($A74,Fixtures!$A$5:$A$204,Fixtures!$G$5:$G$204,""))</x:f>
      </x:c>
      <x:c r="G74" s="38" t="str">
        <x:f>IF($A74="","",IFERROR(INDEX(FILTER('Result Review'!$X$5:$X$204,'Result Review'!$D$5:$D$204=$A74,'Result Review'!$R$5:$R$204="Approved Current"),1),""))</x:f>
      </x:c>
      <x:c r="H74" s="38" t="str">
        <x:f>IF($A74="","",IFERROR(INDEX(FILTER('Result Review'!$Y$5:$Y$204,'Result Review'!$D$5:$D$204=$A74,'Result Review'!$R$5:$R$204="Approved Current"),1),""))</x:f>
      </x:c>
      <x:c r="I74" s="38" t="str">
        <x:f>IF($A74="","",IFERROR(INDEX(FILTER('Result Review'!$J$5:$J$204,'Result Review'!$D$5:$D$204=$A74,'Result Review'!$R$5:$R$204="Approved Current"),1),""))</x:f>
      </x:c>
      <x:c r="J74" s="38" t="str">
        <x:f>IF($A74="","",IFERROR(INDEX(FILTER('Result Review'!$K$5:$K$204,'Result Review'!$D$5:$D$204=$A74,'Result Review'!$R$5:$R$204="Approved Current"),1),""))</x:f>
      </x:c>
      <x:c r="K74" s="38" t="str">
        <x:f>IF($A74="","",IFERROR(INDEX(FILTER('Result Review'!$Z$5:$Z$204,'Result Review'!$D$5:$D$204=$A74,'Result Review'!$R$5:$R$204="Approved Current"),1),""))</x:f>
      </x:c>
      <x:c r="L74" s="60" t="str">
        <x:f>IF($A74="","",IFERROR(INDEX(FILTER('Result Review'!$L$5:$L$204,'Result Review'!$D$5:$D$204=$A74,'Result Review'!$R$5:$R$204="Approved Current"),1),""))</x:f>
      </x:c>
      <x:c r="M74" s="38" t="str">
        <x:f>IF($A74="","",IFERROR(INDEX(FILTER('Result Review'!$B$5:$B$204,'Result Review'!$D$5:$D$204=$A74,'Result Review'!$R$5:$R$204="Approved Current"),1),""))</x:f>
      </x:c>
      <x:c r="N74" s="38" t="str">
        <x:f>IF($A74="","","Approved Current")</x:f>
      </x:c>
      <x:c r="O74" s="49" t="str">
        <x:f>IF($A74="","","Derived from Result Review row "&amp;M74)</x:f>
      </x:c>
    </x:row>
    <x:row r="75" ht="15" hidden="0" customHeight="1">
      <x:c r="A75" s="48" t="str">
        <x:f>IF(Fixtures!A75="","",IF(COUNTIFS('Result Review'!$D$5:$D$204,Fixtures!A75,'Result Review'!$R$5:$R$204,"Approved Current")=1,Fixtures!A75,""))</x:f>
      </x:c>
      <x:c r="B75" s="38" t="str">
        <x:f>IF($A75="","",XLOOKUP($A75,Fixtures!$A$5:$A$204,Fixtures!$B$5:$B$204,""))</x:f>
      </x:c>
      <x:c r="C75" s="38" t="str">
        <x:f>IF($A75="","",XLOOKUP($A75,Fixtures!$A$5:$A$204,Fixtures!$D$5:$D$204,""))</x:f>
      </x:c>
      <x:c r="D75" s="38" t="str">
        <x:f>IF($A75="","",XLOOKUP($A75,Fixtures!$A$5:$A$204,Fixtures!$E$5:$E$204,""))</x:f>
      </x:c>
      <x:c r="E75" s="38" t="str">
        <x:f>IF($A75="","",XLOOKUP($A75,Fixtures!$A$5:$A$204,Fixtures!$F$5:$F$204,""))</x:f>
      </x:c>
      <x:c r="F75" s="38" t="str">
        <x:f>IF($A75="","",XLOOKUP($A75,Fixtures!$A$5:$A$204,Fixtures!$G$5:$G$204,""))</x:f>
      </x:c>
      <x:c r="G75" s="38" t="str">
        <x:f>IF($A75="","",IFERROR(INDEX(FILTER('Result Review'!$X$5:$X$204,'Result Review'!$D$5:$D$204=$A75,'Result Review'!$R$5:$R$204="Approved Current"),1),""))</x:f>
      </x:c>
      <x:c r="H75" s="38" t="str">
        <x:f>IF($A75="","",IFERROR(INDEX(FILTER('Result Review'!$Y$5:$Y$204,'Result Review'!$D$5:$D$204=$A75,'Result Review'!$R$5:$R$204="Approved Current"),1),""))</x:f>
      </x:c>
      <x:c r="I75" s="38" t="str">
        <x:f>IF($A75="","",IFERROR(INDEX(FILTER('Result Review'!$J$5:$J$204,'Result Review'!$D$5:$D$204=$A75,'Result Review'!$R$5:$R$204="Approved Current"),1),""))</x:f>
      </x:c>
      <x:c r="J75" s="38" t="str">
        <x:f>IF($A75="","",IFERROR(INDEX(FILTER('Result Review'!$K$5:$K$204,'Result Review'!$D$5:$D$204=$A75,'Result Review'!$R$5:$R$204="Approved Current"),1),""))</x:f>
      </x:c>
      <x:c r="K75" s="38" t="str">
        <x:f>IF($A75="","",IFERROR(INDEX(FILTER('Result Review'!$Z$5:$Z$204,'Result Review'!$D$5:$D$204=$A75,'Result Review'!$R$5:$R$204="Approved Current"),1),""))</x:f>
      </x:c>
      <x:c r="L75" s="60" t="str">
        <x:f>IF($A75="","",IFERROR(INDEX(FILTER('Result Review'!$L$5:$L$204,'Result Review'!$D$5:$D$204=$A75,'Result Review'!$R$5:$R$204="Approved Current"),1),""))</x:f>
      </x:c>
      <x:c r="M75" s="38" t="str">
        <x:f>IF($A75="","",IFERROR(INDEX(FILTER('Result Review'!$B$5:$B$204,'Result Review'!$D$5:$D$204=$A75,'Result Review'!$R$5:$R$204="Approved Current"),1),""))</x:f>
      </x:c>
      <x:c r="N75" s="38" t="str">
        <x:f>IF($A75="","","Approved Current")</x:f>
      </x:c>
      <x:c r="O75" s="49" t="str">
        <x:f>IF($A75="","","Derived from Result Review row "&amp;M75)</x:f>
      </x:c>
    </x:row>
    <x:row r="76" ht="15" hidden="0" customHeight="1">
      <x:c r="A76" s="48" t="str">
        <x:f>IF(Fixtures!A76="","",IF(COUNTIFS('Result Review'!$D$5:$D$204,Fixtures!A76,'Result Review'!$R$5:$R$204,"Approved Current")=1,Fixtures!A76,""))</x:f>
      </x:c>
      <x:c r="B76" s="38" t="str">
        <x:f>IF($A76="","",XLOOKUP($A76,Fixtures!$A$5:$A$204,Fixtures!$B$5:$B$204,""))</x:f>
      </x:c>
      <x:c r="C76" s="38" t="str">
        <x:f>IF($A76="","",XLOOKUP($A76,Fixtures!$A$5:$A$204,Fixtures!$D$5:$D$204,""))</x:f>
      </x:c>
      <x:c r="D76" s="38" t="str">
        <x:f>IF($A76="","",XLOOKUP($A76,Fixtures!$A$5:$A$204,Fixtures!$E$5:$E$204,""))</x:f>
      </x:c>
      <x:c r="E76" s="38" t="str">
        <x:f>IF($A76="","",XLOOKUP($A76,Fixtures!$A$5:$A$204,Fixtures!$F$5:$F$204,""))</x:f>
      </x:c>
      <x:c r="F76" s="38" t="str">
        <x:f>IF($A76="","",XLOOKUP($A76,Fixtures!$A$5:$A$204,Fixtures!$G$5:$G$204,""))</x:f>
      </x:c>
      <x:c r="G76" s="38" t="str">
        <x:f>IF($A76="","",IFERROR(INDEX(FILTER('Result Review'!$X$5:$X$204,'Result Review'!$D$5:$D$204=$A76,'Result Review'!$R$5:$R$204="Approved Current"),1),""))</x:f>
      </x:c>
      <x:c r="H76" s="38" t="str">
        <x:f>IF($A76="","",IFERROR(INDEX(FILTER('Result Review'!$Y$5:$Y$204,'Result Review'!$D$5:$D$204=$A76,'Result Review'!$R$5:$R$204="Approved Current"),1),""))</x:f>
      </x:c>
      <x:c r="I76" s="38" t="str">
        <x:f>IF($A76="","",IFERROR(INDEX(FILTER('Result Review'!$J$5:$J$204,'Result Review'!$D$5:$D$204=$A76,'Result Review'!$R$5:$R$204="Approved Current"),1),""))</x:f>
      </x:c>
      <x:c r="J76" s="38" t="str">
        <x:f>IF($A76="","",IFERROR(INDEX(FILTER('Result Review'!$K$5:$K$204,'Result Review'!$D$5:$D$204=$A76,'Result Review'!$R$5:$R$204="Approved Current"),1),""))</x:f>
      </x:c>
      <x:c r="K76" s="38" t="str">
        <x:f>IF($A76="","",IFERROR(INDEX(FILTER('Result Review'!$Z$5:$Z$204,'Result Review'!$D$5:$D$204=$A76,'Result Review'!$R$5:$R$204="Approved Current"),1),""))</x:f>
      </x:c>
      <x:c r="L76" s="60" t="str">
        <x:f>IF($A76="","",IFERROR(INDEX(FILTER('Result Review'!$L$5:$L$204,'Result Review'!$D$5:$D$204=$A76,'Result Review'!$R$5:$R$204="Approved Current"),1),""))</x:f>
      </x:c>
      <x:c r="M76" s="38" t="str">
        <x:f>IF($A76="","",IFERROR(INDEX(FILTER('Result Review'!$B$5:$B$204,'Result Review'!$D$5:$D$204=$A76,'Result Review'!$R$5:$R$204="Approved Current"),1),""))</x:f>
      </x:c>
      <x:c r="N76" s="38" t="str">
        <x:f>IF($A76="","","Approved Current")</x:f>
      </x:c>
      <x:c r="O76" s="49" t="str">
        <x:f>IF($A76="","","Derived from Result Review row "&amp;M76)</x:f>
      </x:c>
    </x:row>
    <x:row r="77" ht="15" hidden="0" customHeight="1">
      <x:c r="A77" s="48" t="str">
        <x:f>IF(Fixtures!A77="","",IF(COUNTIFS('Result Review'!$D$5:$D$204,Fixtures!A77,'Result Review'!$R$5:$R$204,"Approved Current")=1,Fixtures!A77,""))</x:f>
      </x:c>
      <x:c r="B77" s="38" t="str">
        <x:f>IF($A77="","",XLOOKUP($A77,Fixtures!$A$5:$A$204,Fixtures!$B$5:$B$204,""))</x:f>
      </x:c>
      <x:c r="C77" s="38" t="str">
        <x:f>IF($A77="","",XLOOKUP($A77,Fixtures!$A$5:$A$204,Fixtures!$D$5:$D$204,""))</x:f>
      </x:c>
      <x:c r="D77" s="38" t="str">
        <x:f>IF($A77="","",XLOOKUP($A77,Fixtures!$A$5:$A$204,Fixtures!$E$5:$E$204,""))</x:f>
      </x:c>
      <x:c r="E77" s="38" t="str">
        <x:f>IF($A77="","",XLOOKUP($A77,Fixtures!$A$5:$A$204,Fixtures!$F$5:$F$204,""))</x:f>
      </x:c>
      <x:c r="F77" s="38" t="str">
        <x:f>IF($A77="","",XLOOKUP($A77,Fixtures!$A$5:$A$204,Fixtures!$G$5:$G$204,""))</x:f>
      </x:c>
      <x:c r="G77" s="38" t="str">
        <x:f>IF($A77="","",IFERROR(INDEX(FILTER('Result Review'!$X$5:$X$204,'Result Review'!$D$5:$D$204=$A77,'Result Review'!$R$5:$R$204="Approved Current"),1),""))</x:f>
      </x:c>
      <x:c r="H77" s="38" t="str">
        <x:f>IF($A77="","",IFERROR(INDEX(FILTER('Result Review'!$Y$5:$Y$204,'Result Review'!$D$5:$D$204=$A77,'Result Review'!$R$5:$R$204="Approved Current"),1),""))</x:f>
      </x:c>
      <x:c r="I77" s="38" t="str">
        <x:f>IF($A77="","",IFERROR(INDEX(FILTER('Result Review'!$J$5:$J$204,'Result Review'!$D$5:$D$204=$A77,'Result Review'!$R$5:$R$204="Approved Current"),1),""))</x:f>
      </x:c>
      <x:c r="J77" s="38" t="str">
        <x:f>IF($A77="","",IFERROR(INDEX(FILTER('Result Review'!$K$5:$K$204,'Result Review'!$D$5:$D$204=$A77,'Result Review'!$R$5:$R$204="Approved Current"),1),""))</x:f>
      </x:c>
      <x:c r="K77" s="38" t="str">
        <x:f>IF($A77="","",IFERROR(INDEX(FILTER('Result Review'!$Z$5:$Z$204,'Result Review'!$D$5:$D$204=$A77,'Result Review'!$R$5:$R$204="Approved Current"),1),""))</x:f>
      </x:c>
      <x:c r="L77" s="60" t="str">
        <x:f>IF($A77="","",IFERROR(INDEX(FILTER('Result Review'!$L$5:$L$204,'Result Review'!$D$5:$D$204=$A77,'Result Review'!$R$5:$R$204="Approved Current"),1),""))</x:f>
      </x:c>
      <x:c r="M77" s="38" t="str">
        <x:f>IF($A77="","",IFERROR(INDEX(FILTER('Result Review'!$B$5:$B$204,'Result Review'!$D$5:$D$204=$A77,'Result Review'!$R$5:$R$204="Approved Current"),1),""))</x:f>
      </x:c>
      <x:c r="N77" s="38" t="str">
        <x:f>IF($A77="","","Approved Current")</x:f>
      </x:c>
      <x:c r="O77" s="49" t="str">
        <x:f>IF($A77="","","Derived from Result Review row "&amp;M77)</x:f>
      </x:c>
    </x:row>
    <x:row r="78" ht="15" hidden="0" customHeight="1">
      <x:c r="A78" s="48" t="str">
        <x:f>IF(Fixtures!A78="","",IF(COUNTIFS('Result Review'!$D$5:$D$204,Fixtures!A78,'Result Review'!$R$5:$R$204,"Approved Current")=1,Fixtures!A78,""))</x:f>
      </x:c>
      <x:c r="B78" s="38" t="str">
        <x:f>IF($A78="","",XLOOKUP($A78,Fixtures!$A$5:$A$204,Fixtures!$B$5:$B$204,""))</x:f>
      </x:c>
      <x:c r="C78" s="38" t="str">
        <x:f>IF($A78="","",XLOOKUP($A78,Fixtures!$A$5:$A$204,Fixtures!$D$5:$D$204,""))</x:f>
      </x:c>
      <x:c r="D78" s="38" t="str">
        <x:f>IF($A78="","",XLOOKUP($A78,Fixtures!$A$5:$A$204,Fixtures!$E$5:$E$204,""))</x:f>
      </x:c>
      <x:c r="E78" s="38" t="str">
        <x:f>IF($A78="","",XLOOKUP($A78,Fixtures!$A$5:$A$204,Fixtures!$F$5:$F$204,""))</x:f>
      </x:c>
      <x:c r="F78" s="38" t="str">
        <x:f>IF($A78="","",XLOOKUP($A78,Fixtures!$A$5:$A$204,Fixtures!$G$5:$G$204,""))</x:f>
      </x:c>
      <x:c r="G78" s="38" t="str">
        <x:f>IF($A78="","",IFERROR(INDEX(FILTER('Result Review'!$X$5:$X$204,'Result Review'!$D$5:$D$204=$A78,'Result Review'!$R$5:$R$204="Approved Current"),1),""))</x:f>
      </x:c>
      <x:c r="H78" s="38" t="str">
        <x:f>IF($A78="","",IFERROR(INDEX(FILTER('Result Review'!$Y$5:$Y$204,'Result Review'!$D$5:$D$204=$A78,'Result Review'!$R$5:$R$204="Approved Current"),1),""))</x:f>
      </x:c>
      <x:c r="I78" s="38" t="str">
        <x:f>IF($A78="","",IFERROR(INDEX(FILTER('Result Review'!$J$5:$J$204,'Result Review'!$D$5:$D$204=$A78,'Result Review'!$R$5:$R$204="Approved Current"),1),""))</x:f>
      </x:c>
      <x:c r="J78" s="38" t="str">
        <x:f>IF($A78="","",IFERROR(INDEX(FILTER('Result Review'!$K$5:$K$204,'Result Review'!$D$5:$D$204=$A78,'Result Review'!$R$5:$R$204="Approved Current"),1),""))</x:f>
      </x:c>
      <x:c r="K78" s="38" t="str">
        <x:f>IF($A78="","",IFERROR(INDEX(FILTER('Result Review'!$Z$5:$Z$204,'Result Review'!$D$5:$D$204=$A78,'Result Review'!$R$5:$R$204="Approved Current"),1),""))</x:f>
      </x:c>
      <x:c r="L78" s="60" t="str">
        <x:f>IF($A78="","",IFERROR(INDEX(FILTER('Result Review'!$L$5:$L$204,'Result Review'!$D$5:$D$204=$A78,'Result Review'!$R$5:$R$204="Approved Current"),1),""))</x:f>
      </x:c>
      <x:c r="M78" s="38" t="str">
        <x:f>IF($A78="","",IFERROR(INDEX(FILTER('Result Review'!$B$5:$B$204,'Result Review'!$D$5:$D$204=$A78,'Result Review'!$R$5:$R$204="Approved Current"),1),""))</x:f>
      </x:c>
      <x:c r="N78" s="38" t="str">
        <x:f>IF($A78="","","Approved Current")</x:f>
      </x:c>
      <x:c r="O78" s="49" t="str">
        <x:f>IF($A78="","","Derived from Result Review row "&amp;M78)</x:f>
      </x:c>
    </x:row>
    <x:row r="79" ht="15" hidden="0" customHeight="1">
      <x:c r="A79" s="48" t="str">
        <x:f>IF(Fixtures!A79="","",IF(COUNTIFS('Result Review'!$D$5:$D$204,Fixtures!A79,'Result Review'!$R$5:$R$204,"Approved Current")=1,Fixtures!A79,""))</x:f>
      </x:c>
      <x:c r="B79" s="38" t="str">
        <x:f>IF($A79="","",XLOOKUP($A79,Fixtures!$A$5:$A$204,Fixtures!$B$5:$B$204,""))</x:f>
      </x:c>
      <x:c r="C79" s="38" t="str">
        <x:f>IF($A79="","",XLOOKUP($A79,Fixtures!$A$5:$A$204,Fixtures!$D$5:$D$204,""))</x:f>
      </x:c>
      <x:c r="D79" s="38" t="str">
        <x:f>IF($A79="","",XLOOKUP($A79,Fixtures!$A$5:$A$204,Fixtures!$E$5:$E$204,""))</x:f>
      </x:c>
      <x:c r="E79" s="38" t="str">
        <x:f>IF($A79="","",XLOOKUP($A79,Fixtures!$A$5:$A$204,Fixtures!$F$5:$F$204,""))</x:f>
      </x:c>
      <x:c r="F79" s="38" t="str">
        <x:f>IF($A79="","",XLOOKUP($A79,Fixtures!$A$5:$A$204,Fixtures!$G$5:$G$204,""))</x:f>
      </x:c>
      <x:c r="G79" s="38" t="str">
        <x:f>IF($A79="","",IFERROR(INDEX(FILTER('Result Review'!$X$5:$X$204,'Result Review'!$D$5:$D$204=$A79,'Result Review'!$R$5:$R$204="Approved Current"),1),""))</x:f>
      </x:c>
      <x:c r="H79" s="38" t="str">
        <x:f>IF($A79="","",IFERROR(INDEX(FILTER('Result Review'!$Y$5:$Y$204,'Result Review'!$D$5:$D$204=$A79,'Result Review'!$R$5:$R$204="Approved Current"),1),""))</x:f>
      </x:c>
      <x:c r="I79" s="38" t="str">
        <x:f>IF($A79="","",IFERROR(INDEX(FILTER('Result Review'!$J$5:$J$204,'Result Review'!$D$5:$D$204=$A79,'Result Review'!$R$5:$R$204="Approved Current"),1),""))</x:f>
      </x:c>
      <x:c r="J79" s="38" t="str">
        <x:f>IF($A79="","",IFERROR(INDEX(FILTER('Result Review'!$K$5:$K$204,'Result Review'!$D$5:$D$204=$A79,'Result Review'!$R$5:$R$204="Approved Current"),1),""))</x:f>
      </x:c>
      <x:c r="K79" s="38" t="str">
        <x:f>IF($A79="","",IFERROR(INDEX(FILTER('Result Review'!$Z$5:$Z$204,'Result Review'!$D$5:$D$204=$A79,'Result Review'!$R$5:$R$204="Approved Current"),1),""))</x:f>
      </x:c>
      <x:c r="L79" s="60" t="str">
        <x:f>IF($A79="","",IFERROR(INDEX(FILTER('Result Review'!$L$5:$L$204,'Result Review'!$D$5:$D$204=$A79,'Result Review'!$R$5:$R$204="Approved Current"),1),""))</x:f>
      </x:c>
      <x:c r="M79" s="38" t="str">
        <x:f>IF($A79="","",IFERROR(INDEX(FILTER('Result Review'!$B$5:$B$204,'Result Review'!$D$5:$D$204=$A79,'Result Review'!$R$5:$R$204="Approved Current"),1),""))</x:f>
      </x:c>
      <x:c r="N79" s="38" t="str">
        <x:f>IF($A79="","","Approved Current")</x:f>
      </x:c>
      <x:c r="O79" s="49" t="str">
        <x:f>IF($A79="","","Derived from Result Review row "&amp;M79)</x:f>
      </x:c>
    </x:row>
    <x:row r="80" ht="15" hidden="0" customHeight="1">
      <x:c r="A80" s="48" t="str">
        <x:f>IF(Fixtures!A80="","",IF(COUNTIFS('Result Review'!$D$5:$D$204,Fixtures!A80,'Result Review'!$R$5:$R$204,"Approved Current")=1,Fixtures!A80,""))</x:f>
      </x:c>
      <x:c r="B80" s="38" t="str">
        <x:f>IF($A80="","",XLOOKUP($A80,Fixtures!$A$5:$A$204,Fixtures!$B$5:$B$204,""))</x:f>
      </x:c>
      <x:c r="C80" s="38" t="str">
        <x:f>IF($A80="","",XLOOKUP($A80,Fixtures!$A$5:$A$204,Fixtures!$D$5:$D$204,""))</x:f>
      </x:c>
      <x:c r="D80" s="38" t="str">
        <x:f>IF($A80="","",XLOOKUP($A80,Fixtures!$A$5:$A$204,Fixtures!$E$5:$E$204,""))</x:f>
      </x:c>
      <x:c r="E80" s="38" t="str">
        <x:f>IF($A80="","",XLOOKUP($A80,Fixtures!$A$5:$A$204,Fixtures!$F$5:$F$204,""))</x:f>
      </x:c>
      <x:c r="F80" s="38" t="str">
        <x:f>IF($A80="","",XLOOKUP($A80,Fixtures!$A$5:$A$204,Fixtures!$G$5:$G$204,""))</x:f>
      </x:c>
      <x:c r="G80" s="38" t="str">
        <x:f>IF($A80="","",IFERROR(INDEX(FILTER('Result Review'!$X$5:$X$204,'Result Review'!$D$5:$D$204=$A80,'Result Review'!$R$5:$R$204="Approved Current"),1),""))</x:f>
      </x:c>
      <x:c r="H80" s="38" t="str">
        <x:f>IF($A80="","",IFERROR(INDEX(FILTER('Result Review'!$Y$5:$Y$204,'Result Review'!$D$5:$D$204=$A80,'Result Review'!$R$5:$R$204="Approved Current"),1),""))</x:f>
      </x:c>
      <x:c r="I80" s="38" t="str">
        <x:f>IF($A80="","",IFERROR(INDEX(FILTER('Result Review'!$J$5:$J$204,'Result Review'!$D$5:$D$204=$A80,'Result Review'!$R$5:$R$204="Approved Current"),1),""))</x:f>
      </x:c>
      <x:c r="J80" s="38" t="str">
        <x:f>IF($A80="","",IFERROR(INDEX(FILTER('Result Review'!$K$5:$K$204,'Result Review'!$D$5:$D$204=$A80,'Result Review'!$R$5:$R$204="Approved Current"),1),""))</x:f>
      </x:c>
      <x:c r="K80" s="38" t="str">
        <x:f>IF($A80="","",IFERROR(INDEX(FILTER('Result Review'!$Z$5:$Z$204,'Result Review'!$D$5:$D$204=$A80,'Result Review'!$R$5:$R$204="Approved Current"),1),""))</x:f>
      </x:c>
      <x:c r="L80" s="60" t="str">
        <x:f>IF($A80="","",IFERROR(INDEX(FILTER('Result Review'!$L$5:$L$204,'Result Review'!$D$5:$D$204=$A80,'Result Review'!$R$5:$R$204="Approved Current"),1),""))</x:f>
      </x:c>
      <x:c r="M80" s="38" t="str">
        <x:f>IF($A80="","",IFERROR(INDEX(FILTER('Result Review'!$B$5:$B$204,'Result Review'!$D$5:$D$204=$A80,'Result Review'!$R$5:$R$204="Approved Current"),1),""))</x:f>
      </x:c>
      <x:c r="N80" s="38" t="str">
        <x:f>IF($A80="","","Approved Current")</x:f>
      </x:c>
      <x:c r="O80" s="49" t="str">
        <x:f>IF($A80="","","Derived from Result Review row "&amp;M80)</x:f>
      </x:c>
    </x:row>
    <x:row r="81" ht="15" hidden="0" customHeight="1">
      <x:c r="A81" s="48" t="str">
        <x:f>IF(Fixtures!A81="","",IF(COUNTIFS('Result Review'!$D$5:$D$204,Fixtures!A81,'Result Review'!$R$5:$R$204,"Approved Current")=1,Fixtures!A81,""))</x:f>
      </x:c>
      <x:c r="B81" s="38" t="str">
        <x:f>IF($A81="","",XLOOKUP($A81,Fixtures!$A$5:$A$204,Fixtures!$B$5:$B$204,""))</x:f>
      </x:c>
      <x:c r="C81" s="38" t="str">
        <x:f>IF($A81="","",XLOOKUP($A81,Fixtures!$A$5:$A$204,Fixtures!$D$5:$D$204,""))</x:f>
      </x:c>
      <x:c r="D81" s="38" t="str">
        <x:f>IF($A81="","",XLOOKUP($A81,Fixtures!$A$5:$A$204,Fixtures!$E$5:$E$204,""))</x:f>
      </x:c>
      <x:c r="E81" s="38" t="str">
        <x:f>IF($A81="","",XLOOKUP($A81,Fixtures!$A$5:$A$204,Fixtures!$F$5:$F$204,""))</x:f>
      </x:c>
      <x:c r="F81" s="38" t="str">
        <x:f>IF($A81="","",XLOOKUP($A81,Fixtures!$A$5:$A$204,Fixtures!$G$5:$G$204,""))</x:f>
      </x:c>
      <x:c r="G81" s="38" t="str">
        <x:f>IF($A81="","",IFERROR(INDEX(FILTER('Result Review'!$X$5:$X$204,'Result Review'!$D$5:$D$204=$A81,'Result Review'!$R$5:$R$204="Approved Current"),1),""))</x:f>
      </x:c>
      <x:c r="H81" s="38" t="str">
        <x:f>IF($A81="","",IFERROR(INDEX(FILTER('Result Review'!$Y$5:$Y$204,'Result Review'!$D$5:$D$204=$A81,'Result Review'!$R$5:$R$204="Approved Current"),1),""))</x:f>
      </x:c>
      <x:c r="I81" s="38" t="str">
        <x:f>IF($A81="","",IFERROR(INDEX(FILTER('Result Review'!$J$5:$J$204,'Result Review'!$D$5:$D$204=$A81,'Result Review'!$R$5:$R$204="Approved Current"),1),""))</x:f>
      </x:c>
      <x:c r="J81" s="38" t="str">
        <x:f>IF($A81="","",IFERROR(INDEX(FILTER('Result Review'!$K$5:$K$204,'Result Review'!$D$5:$D$204=$A81,'Result Review'!$R$5:$R$204="Approved Current"),1),""))</x:f>
      </x:c>
      <x:c r="K81" s="38" t="str">
        <x:f>IF($A81="","",IFERROR(INDEX(FILTER('Result Review'!$Z$5:$Z$204,'Result Review'!$D$5:$D$204=$A81,'Result Review'!$R$5:$R$204="Approved Current"),1),""))</x:f>
      </x:c>
      <x:c r="L81" s="60" t="str">
        <x:f>IF($A81="","",IFERROR(INDEX(FILTER('Result Review'!$L$5:$L$204,'Result Review'!$D$5:$D$204=$A81,'Result Review'!$R$5:$R$204="Approved Current"),1),""))</x:f>
      </x:c>
      <x:c r="M81" s="38" t="str">
        <x:f>IF($A81="","",IFERROR(INDEX(FILTER('Result Review'!$B$5:$B$204,'Result Review'!$D$5:$D$204=$A81,'Result Review'!$R$5:$R$204="Approved Current"),1),""))</x:f>
      </x:c>
      <x:c r="N81" s="38" t="str">
        <x:f>IF($A81="","","Approved Current")</x:f>
      </x:c>
      <x:c r="O81" s="49" t="str">
        <x:f>IF($A81="","","Derived from Result Review row "&amp;M81)</x:f>
      </x:c>
    </x:row>
    <x:row r="82" ht="15" hidden="0" customHeight="1">
      <x:c r="A82" s="48" t="str">
        <x:f>IF(Fixtures!A82="","",IF(COUNTIFS('Result Review'!$D$5:$D$204,Fixtures!A82,'Result Review'!$R$5:$R$204,"Approved Current")=1,Fixtures!A82,""))</x:f>
      </x:c>
      <x:c r="B82" s="38" t="str">
        <x:f>IF($A82="","",XLOOKUP($A82,Fixtures!$A$5:$A$204,Fixtures!$B$5:$B$204,""))</x:f>
      </x:c>
      <x:c r="C82" s="38" t="str">
        <x:f>IF($A82="","",XLOOKUP($A82,Fixtures!$A$5:$A$204,Fixtures!$D$5:$D$204,""))</x:f>
      </x:c>
      <x:c r="D82" s="38" t="str">
        <x:f>IF($A82="","",XLOOKUP($A82,Fixtures!$A$5:$A$204,Fixtures!$E$5:$E$204,""))</x:f>
      </x:c>
      <x:c r="E82" s="38" t="str">
        <x:f>IF($A82="","",XLOOKUP($A82,Fixtures!$A$5:$A$204,Fixtures!$F$5:$F$204,""))</x:f>
      </x:c>
      <x:c r="F82" s="38" t="str">
        <x:f>IF($A82="","",XLOOKUP($A82,Fixtures!$A$5:$A$204,Fixtures!$G$5:$G$204,""))</x:f>
      </x:c>
      <x:c r="G82" s="38" t="str">
        <x:f>IF($A82="","",IFERROR(INDEX(FILTER('Result Review'!$X$5:$X$204,'Result Review'!$D$5:$D$204=$A82,'Result Review'!$R$5:$R$204="Approved Current"),1),""))</x:f>
      </x:c>
      <x:c r="H82" s="38" t="str">
        <x:f>IF($A82="","",IFERROR(INDEX(FILTER('Result Review'!$Y$5:$Y$204,'Result Review'!$D$5:$D$204=$A82,'Result Review'!$R$5:$R$204="Approved Current"),1),""))</x:f>
      </x:c>
      <x:c r="I82" s="38" t="str">
        <x:f>IF($A82="","",IFERROR(INDEX(FILTER('Result Review'!$J$5:$J$204,'Result Review'!$D$5:$D$204=$A82,'Result Review'!$R$5:$R$204="Approved Current"),1),""))</x:f>
      </x:c>
      <x:c r="J82" s="38" t="str">
        <x:f>IF($A82="","",IFERROR(INDEX(FILTER('Result Review'!$K$5:$K$204,'Result Review'!$D$5:$D$204=$A82,'Result Review'!$R$5:$R$204="Approved Current"),1),""))</x:f>
      </x:c>
      <x:c r="K82" s="38" t="str">
        <x:f>IF($A82="","",IFERROR(INDEX(FILTER('Result Review'!$Z$5:$Z$204,'Result Review'!$D$5:$D$204=$A82,'Result Review'!$R$5:$R$204="Approved Current"),1),""))</x:f>
      </x:c>
      <x:c r="L82" s="60" t="str">
        <x:f>IF($A82="","",IFERROR(INDEX(FILTER('Result Review'!$L$5:$L$204,'Result Review'!$D$5:$D$204=$A82,'Result Review'!$R$5:$R$204="Approved Current"),1),""))</x:f>
      </x:c>
      <x:c r="M82" s="38" t="str">
        <x:f>IF($A82="","",IFERROR(INDEX(FILTER('Result Review'!$B$5:$B$204,'Result Review'!$D$5:$D$204=$A82,'Result Review'!$R$5:$R$204="Approved Current"),1),""))</x:f>
      </x:c>
      <x:c r="N82" s="38" t="str">
        <x:f>IF($A82="","","Approved Current")</x:f>
      </x:c>
      <x:c r="O82" s="49" t="str">
        <x:f>IF($A82="","","Derived from Result Review row "&amp;M82)</x:f>
      </x:c>
    </x:row>
    <x:row r="83" ht="15" hidden="0" customHeight="1">
      <x:c r="A83" s="48" t="str">
        <x:f>IF(Fixtures!A83="","",IF(COUNTIFS('Result Review'!$D$5:$D$204,Fixtures!A83,'Result Review'!$R$5:$R$204,"Approved Current")=1,Fixtures!A83,""))</x:f>
      </x:c>
      <x:c r="B83" s="38" t="str">
        <x:f>IF($A83="","",XLOOKUP($A83,Fixtures!$A$5:$A$204,Fixtures!$B$5:$B$204,""))</x:f>
      </x:c>
      <x:c r="C83" s="38" t="str">
        <x:f>IF($A83="","",XLOOKUP($A83,Fixtures!$A$5:$A$204,Fixtures!$D$5:$D$204,""))</x:f>
      </x:c>
      <x:c r="D83" s="38" t="str">
        <x:f>IF($A83="","",XLOOKUP($A83,Fixtures!$A$5:$A$204,Fixtures!$E$5:$E$204,""))</x:f>
      </x:c>
      <x:c r="E83" s="38" t="str">
        <x:f>IF($A83="","",XLOOKUP($A83,Fixtures!$A$5:$A$204,Fixtures!$F$5:$F$204,""))</x:f>
      </x:c>
      <x:c r="F83" s="38" t="str">
        <x:f>IF($A83="","",XLOOKUP($A83,Fixtures!$A$5:$A$204,Fixtures!$G$5:$G$204,""))</x:f>
      </x:c>
      <x:c r="G83" s="38" t="str">
        <x:f>IF($A83="","",IFERROR(INDEX(FILTER('Result Review'!$X$5:$X$204,'Result Review'!$D$5:$D$204=$A83,'Result Review'!$R$5:$R$204="Approved Current"),1),""))</x:f>
      </x:c>
      <x:c r="H83" s="38" t="str">
        <x:f>IF($A83="","",IFERROR(INDEX(FILTER('Result Review'!$Y$5:$Y$204,'Result Review'!$D$5:$D$204=$A83,'Result Review'!$R$5:$R$204="Approved Current"),1),""))</x:f>
      </x:c>
      <x:c r="I83" s="38" t="str">
        <x:f>IF($A83="","",IFERROR(INDEX(FILTER('Result Review'!$J$5:$J$204,'Result Review'!$D$5:$D$204=$A83,'Result Review'!$R$5:$R$204="Approved Current"),1),""))</x:f>
      </x:c>
      <x:c r="J83" s="38" t="str">
        <x:f>IF($A83="","",IFERROR(INDEX(FILTER('Result Review'!$K$5:$K$204,'Result Review'!$D$5:$D$204=$A83,'Result Review'!$R$5:$R$204="Approved Current"),1),""))</x:f>
      </x:c>
      <x:c r="K83" s="38" t="str">
        <x:f>IF($A83="","",IFERROR(INDEX(FILTER('Result Review'!$Z$5:$Z$204,'Result Review'!$D$5:$D$204=$A83,'Result Review'!$R$5:$R$204="Approved Current"),1),""))</x:f>
      </x:c>
      <x:c r="L83" s="60" t="str">
        <x:f>IF($A83="","",IFERROR(INDEX(FILTER('Result Review'!$L$5:$L$204,'Result Review'!$D$5:$D$204=$A83,'Result Review'!$R$5:$R$204="Approved Current"),1),""))</x:f>
      </x:c>
      <x:c r="M83" s="38" t="str">
        <x:f>IF($A83="","",IFERROR(INDEX(FILTER('Result Review'!$B$5:$B$204,'Result Review'!$D$5:$D$204=$A83,'Result Review'!$R$5:$R$204="Approved Current"),1),""))</x:f>
      </x:c>
      <x:c r="N83" s="38" t="str">
        <x:f>IF($A83="","","Approved Current")</x:f>
      </x:c>
      <x:c r="O83" s="49" t="str">
        <x:f>IF($A83="","","Derived from Result Review row "&amp;M83)</x:f>
      </x:c>
    </x:row>
    <x:row r="84" ht="15" hidden="0" customHeight="1">
      <x:c r="A84" s="48" t="str">
        <x:f>IF(Fixtures!A84="","",IF(COUNTIFS('Result Review'!$D$5:$D$204,Fixtures!A84,'Result Review'!$R$5:$R$204,"Approved Current")=1,Fixtures!A84,""))</x:f>
      </x:c>
      <x:c r="B84" s="38" t="str">
        <x:f>IF($A84="","",XLOOKUP($A84,Fixtures!$A$5:$A$204,Fixtures!$B$5:$B$204,""))</x:f>
      </x:c>
      <x:c r="C84" s="38" t="str">
        <x:f>IF($A84="","",XLOOKUP($A84,Fixtures!$A$5:$A$204,Fixtures!$D$5:$D$204,""))</x:f>
      </x:c>
      <x:c r="D84" s="38" t="str">
        <x:f>IF($A84="","",XLOOKUP($A84,Fixtures!$A$5:$A$204,Fixtures!$E$5:$E$204,""))</x:f>
      </x:c>
      <x:c r="E84" s="38" t="str">
        <x:f>IF($A84="","",XLOOKUP($A84,Fixtures!$A$5:$A$204,Fixtures!$F$5:$F$204,""))</x:f>
      </x:c>
      <x:c r="F84" s="38" t="str">
        <x:f>IF($A84="","",XLOOKUP($A84,Fixtures!$A$5:$A$204,Fixtures!$G$5:$G$204,""))</x:f>
      </x:c>
      <x:c r="G84" s="38" t="str">
        <x:f>IF($A84="","",IFERROR(INDEX(FILTER('Result Review'!$X$5:$X$204,'Result Review'!$D$5:$D$204=$A84,'Result Review'!$R$5:$R$204="Approved Current"),1),""))</x:f>
      </x:c>
      <x:c r="H84" s="38" t="str">
        <x:f>IF($A84="","",IFERROR(INDEX(FILTER('Result Review'!$Y$5:$Y$204,'Result Review'!$D$5:$D$204=$A84,'Result Review'!$R$5:$R$204="Approved Current"),1),""))</x:f>
      </x:c>
      <x:c r="I84" s="38" t="str">
        <x:f>IF($A84="","",IFERROR(INDEX(FILTER('Result Review'!$J$5:$J$204,'Result Review'!$D$5:$D$204=$A84,'Result Review'!$R$5:$R$204="Approved Current"),1),""))</x:f>
      </x:c>
      <x:c r="J84" s="38" t="str">
        <x:f>IF($A84="","",IFERROR(INDEX(FILTER('Result Review'!$K$5:$K$204,'Result Review'!$D$5:$D$204=$A84,'Result Review'!$R$5:$R$204="Approved Current"),1),""))</x:f>
      </x:c>
      <x:c r="K84" s="38" t="str">
        <x:f>IF($A84="","",IFERROR(INDEX(FILTER('Result Review'!$Z$5:$Z$204,'Result Review'!$D$5:$D$204=$A84,'Result Review'!$R$5:$R$204="Approved Current"),1),""))</x:f>
      </x:c>
      <x:c r="L84" s="60" t="str">
        <x:f>IF($A84="","",IFERROR(INDEX(FILTER('Result Review'!$L$5:$L$204,'Result Review'!$D$5:$D$204=$A84,'Result Review'!$R$5:$R$204="Approved Current"),1),""))</x:f>
      </x:c>
      <x:c r="M84" s="38" t="str">
        <x:f>IF($A84="","",IFERROR(INDEX(FILTER('Result Review'!$B$5:$B$204,'Result Review'!$D$5:$D$204=$A84,'Result Review'!$R$5:$R$204="Approved Current"),1),""))</x:f>
      </x:c>
      <x:c r="N84" s="38" t="str">
        <x:f>IF($A84="","","Approved Current")</x:f>
      </x:c>
      <x:c r="O84" s="49" t="str">
        <x:f>IF($A84="","","Derived from Result Review row "&amp;M84)</x:f>
      </x:c>
    </x:row>
    <x:row r="85" ht="15" hidden="0" customHeight="1">
      <x:c r="A85" s="48" t="str">
        <x:f>IF(Fixtures!A85="","",IF(COUNTIFS('Result Review'!$D$5:$D$204,Fixtures!A85,'Result Review'!$R$5:$R$204,"Approved Current")=1,Fixtures!A85,""))</x:f>
      </x:c>
      <x:c r="B85" s="38" t="str">
        <x:f>IF($A85="","",XLOOKUP($A85,Fixtures!$A$5:$A$204,Fixtures!$B$5:$B$204,""))</x:f>
      </x:c>
      <x:c r="C85" s="38" t="str">
        <x:f>IF($A85="","",XLOOKUP($A85,Fixtures!$A$5:$A$204,Fixtures!$D$5:$D$204,""))</x:f>
      </x:c>
      <x:c r="D85" s="38" t="str">
        <x:f>IF($A85="","",XLOOKUP($A85,Fixtures!$A$5:$A$204,Fixtures!$E$5:$E$204,""))</x:f>
      </x:c>
      <x:c r="E85" s="38" t="str">
        <x:f>IF($A85="","",XLOOKUP($A85,Fixtures!$A$5:$A$204,Fixtures!$F$5:$F$204,""))</x:f>
      </x:c>
      <x:c r="F85" s="38" t="str">
        <x:f>IF($A85="","",XLOOKUP($A85,Fixtures!$A$5:$A$204,Fixtures!$G$5:$G$204,""))</x:f>
      </x:c>
      <x:c r="G85" s="38" t="str">
        <x:f>IF($A85="","",IFERROR(INDEX(FILTER('Result Review'!$X$5:$X$204,'Result Review'!$D$5:$D$204=$A85,'Result Review'!$R$5:$R$204="Approved Current"),1),""))</x:f>
      </x:c>
      <x:c r="H85" s="38" t="str">
        <x:f>IF($A85="","",IFERROR(INDEX(FILTER('Result Review'!$Y$5:$Y$204,'Result Review'!$D$5:$D$204=$A85,'Result Review'!$R$5:$R$204="Approved Current"),1),""))</x:f>
      </x:c>
      <x:c r="I85" s="38" t="str">
        <x:f>IF($A85="","",IFERROR(INDEX(FILTER('Result Review'!$J$5:$J$204,'Result Review'!$D$5:$D$204=$A85,'Result Review'!$R$5:$R$204="Approved Current"),1),""))</x:f>
      </x:c>
      <x:c r="J85" s="38" t="str">
        <x:f>IF($A85="","",IFERROR(INDEX(FILTER('Result Review'!$K$5:$K$204,'Result Review'!$D$5:$D$204=$A85,'Result Review'!$R$5:$R$204="Approved Current"),1),""))</x:f>
      </x:c>
      <x:c r="K85" s="38" t="str">
        <x:f>IF($A85="","",IFERROR(INDEX(FILTER('Result Review'!$Z$5:$Z$204,'Result Review'!$D$5:$D$204=$A85,'Result Review'!$R$5:$R$204="Approved Current"),1),""))</x:f>
      </x:c>
      <x:c r="L85" s="60" t="str">
        <x:f>IF($A85="","",IFERROR(INDEX(FILTER('Result Review'!$L$5:$L$204,'Result Review'!$D$5:$D$204=$A85,'Result Review'!$R$5:$R$204="Approved Current"),1),""))</x:f>
      </x:c>
      <x:c r="M85" s="38" t="str">
        <x:f>IF($A85="","",IFERROR(INDEX(FILTER('Result Review'!$B$5:$B$204,'Result Review'!$D$5:$D$204=$A85,'Result Review'!$R$5:$R$204="Approved Current"),1),""))</x:f>
      </x:c>
      <x:c r="N85" s="38" t="str">
        <x:f>IF($A85="","","Approved Current")</x:f>
      </x:c>
      <x:c r="O85" s="49" t="str">
        <x:f>IF($A85="","","Derived from Result Review row "&amp;M85)</x:f>
      </x:c>
    </x:row>
    <x:row r="86" ht="15" hidden="0" customHeight="1">
      <x:c r="A86" s="48" t="str">
        <x:f>IF(Fixtures!A86="","",IF(COUNTIFS('Result Review'!$D$5:$D$204,Fixtures!A86,'Result Review'!$R$5:$R$204,"Approved Current")=1,Fixtures!A86,""))</x:f>
      </x:c>
      <x:c r="B86" s="38" t="str">
        <x:f>IF($A86="","",XLOOKUP($A86,Fixtures!$A$5:$A$204,Fixtures!$B$5:$B$204,""))</x:f>
      </x:c>
      <x:c r="C86" s="38" t="str">
        <x:f>IF($A86="","",XLOOKUP($A86,Fixtures!$A$5:$A$204,Fixtures!$D$5:$D$204,""))</x:f>
      </x:c>
      <x:c r="D86" s="38" t="str">
        <x:f>IF($A86="","",XLOOKUP($A86,Fixtures!$A$5:$A$204,Fixtures!$E$5:$E$204,""))</x:f>
      </x:c>
      <x:c r="E86" s="38" t="str">
        <x:f>IF($A86="","",XLOOKUP($A86,Fixtures!$A$5:$A$204,Fixtures!$F$5:$F$204,""))</x:f>
      </x:c>
      <x:c r="F86" s="38" t="str">
        <x:f>IF($A86="","",XLOOKUP($A86,Fixtures!$A$5:$A$204,Fixtures!$G$5:$G$204,""))</x:f>
      </x:c>
      <x:c r="G86" s="38" t="str">
        <x:f>IF($A86="","",IFERROR(INDEX(FILTER('Result Review'!$X$5:$X$204,'Result Review'!$D$5:$D$204=$A86,'Result Review'!$R$5:$R$204="Approved Current"),1),""))</x:f>
      </x:c>
      <x:c r="H86" s="38" t="str">
        <x:f>IF($A86="","",IFERROR(INDEX(FILTER('Result Review'!$Y$5:$Y$204,'Result Review'!$D$5:$D$204=$A86,'Result Review'!$R$5:$R$204="Approved Current"),1),""))</x:f>
      </x:c>
      <x:c r="I86" s="38" t="str">
        <x:f>IF($A86="","",IFERROR(INDEX(FILTER('Result Review'!$J$5:$J$204,'Result Review'!$D$5:$D$204=$A86,'Result Review'!$R$5:$R$204="Approved Current"),1),""))</x:f>
      </x:c>
      <x:c r="J86" s="38" t="str">
        <x:f>IF($A86="","",IFERROR(INDEX(FILTER('Result Review'!$K$5:$K$204,'Result Review'!$D$5:$D$204=$A86,'Result Review'!$R$5:$R$204="Approved Current"),1),""))</x:f>
      </x:c>
      <x:c r="K86" s="38" t="str">
        <x:f>IF($A86="","",IFERROR(INDEX(FILTER('Result Review'!$Z$5:$Z$204,'Result Review'!$D$5:$D$204=$A86,'Result Review'!$R$5:$R$204="Approved Current"),1),""))</x:f>
      </x:c>
      <x:c r="L86" s="60" t="str">
        <x:f>IF($A86="","",IFERROR(INDEX(FILTER('Result Review'!$L$5:$L$204,'Result Review'!$D$5:$D$204=$A86,'Result Review'!$R$5:$R$204="Approved Current"),1),""))</x:f>
      </x:c>
      <x:c r="M86" s="38" t="str">
        <x:f>IF($A86="","",IFERROR(INDEX(FILTER('Result Review'!$B$5:$B$204,'Result Review'!$D$5:$D$204=$A86,'Result Review'!$R$5:$R$204="Approved Current"),1),""))</x:f>
      </x:c>
      <x:c r="N86" s="38" t="str">
        <x:f>IF($A86="","","Approved Current")</x:f>
      </x:c>
      <x:c r="O86" s="49" t="str">
        <x:f>IF($A86="","","Derived from Result Review row "&amp;M86)</x:f>
      </x:c>
    </x:row>
    <x:row r="87" ht="15" hidden="0" customHeight="1">
      <x:c r="A87" s="48" t="str">
        <x:f>IF(Fixtures!A87="","",IF(COUNTIFS('Result Review'!$D$5:$D$204,Fixtures!A87,'Result Review'!$R$5:$R$204,"Approved Current")=1,Fixtures!A87,""))</x:f>
      </x:c>
      <x:c r="B87" s="38" t="str">
        <x:f>IF($A87="","",XLOOKUP($A87,Fixtures!$A$5:$A$204,Fixtures!$B$5:$B$204,""))</x:f>
      </x:c>
      <x:c r="C87" s="38" t="str">
        <x:f>IF($A87="","",XLOOKUP($A87,Fixtures!$A$5:$A$204,Fixtures!$D$5:$D$204,""))</x:f>
      </x:c>
      <x:c r="D87" s="38" t="str">
        <x:f>IF($A87="","",XLOOKUP($A87,Fixtures!$A$5:$A$204,Fixtures!$E$5:$E$204,""))</x:f>
      </x:c>
      <x:c r="E87" s="38" t="str">
        <x:f>IF($A87="","",XLOOKUP($A87,Fixtures!$A$5:$A$204,Fixtures!$F$5:$F$204,""))</x:f>
      </x:c>
      <x:c r="F87" s="38" t="str">
        <x:f>IF($A87="","",XLOOKUP($A87,Fixtures!$A$5:$A$204,Fixtures!$G$5:$G$204,""))</x:f>
      </x:c>
      <x:c r="G87" s="38" t="str">
        <x:f>IF($A87="","",IFERROR(INDEX(FILTER('Result Review'!$X$5:$X$204,'Result Review'!$D$5:$D$204=$A87,'Result Review'!$R$5:$R$204="Approved Current"),1),""))</x:f>
      </x:c>
      <x:c r="H87" s="38" t="str">
        <x:f>IF($A87="","",IFERROR(INDEX(FILTER('Result Review'!$Y$5:$Y$204,'Result Review'!$D$5:$D$204=$A87,'Result Review'!$R$5:$R$204="Approved Current"),1),""))</x:f>
      </x:c>
      <x:c r="I87" s="38" t="str">
        <x:f>IF($A87="","",IFERROR(INDEX(FILTER('Result Review'!$J$5:$J$204,'Result Review'!$D$5:$D$204=$A87,'Result Review'!$R$5:$R$204="Approved Current"),1),""))</x:f>
      </x:c>
      <x:c r="J87" s="38" t="str">
        <x:f>IF($A87="","",IFERROR(INDEX(FILTER('Result Review'!$K$5:$K$204,'Result Review'!$D$5:$D$204=$A87,'Result Review'!$R$5:$R$204="Approved Current"),1),""))</x:f>
      </x:c>
      <x:c r="K87" s="38" t="str">
        <x:f>IF($A87="","",IFERROR(INDEX(FILTER('Result Review'!$Z$5:$Z$204,'Result Review'!$D$5:$D$204=$A87,'Result Review'!$R$5:$R$204="Approved Current"),1),""))</x:f>
      </x:c>
      <x:c r="L87" s="60" t="str">
        <x:f>IF($A87="","",IFERROR(INDEX(FILTER('Result Review'!$L$5:$L$204,'Result Review'!$D$5:$D$204=$A87,'Result Review'!$R$5:$R$204="Approved Current"),1),""))</x:f>
      </x:c>
      <x:c r="M87" s="38" t="str">
        <x:f>IF($A87="","",IFERROR(INDEX(FILTER('Result Review'!$B$5:$B$204,'Result Review'!$D$5:$D$204=$A87,'Result Review'!$R$5:$R$204="Approved Current"),1),""))</x:f>
      </x:c>
      <x:c r="N87" s="38" t="str">
        <x:f>IF($A87="","","Approved Current")</x:f>
      </x:c>
      <x:c r="O87" s="49" t="str">
        <x:f>IF($A87="","","Derived from Result Review row "&amp;M87)</x:f>
      </x:c>
    </x:row>
    <x:row r="88" ht="15" hidden="0" customHeight="1">
      <x:c r="A88" s="48" t="str">
        <x:f>IF(Fixtures!A88="","",IF(COUNTIFS('Result Review'!$D$5:$D$204,Fixtures!A88,'Result Review'!$R$5:$R$204,"Approved Current")=1,Fixtures!A88,""))</x:f>
      </x:c>
      <x:c r="B88" s="38" t="str">
        <x:f>IF($A88="","",XLOOKUP($A88,Fixtures!$A$5:$A$204,Fixtures!$B$5:$B$204,""))</x:f>
      </x:c>
      <x:c r="C88" s="38" t="str">
        <x:f>IF($A88="","",XLOOKUP($A88,Fixtures!$A$5:$A$204,Fixtures!$D$5:$D$204,""))</x:f>
      </x:c>
      <x:c r="D88" s="38" t="str">
        <x:f>IF($A88="","",XLOOKUP($A88,Fixtures!$A$5:$A$204,Fixtures!$E$5:$E$204,""))</x:f>
      </x:c>
      <x:c r="E88" s="38" t="str">
        <x:f>IF($A88="","",XLOOKUP($A88,Fixtures!$A$5:$A$204,Fixtures!$F$5:$F$204,""))</x:f>
      </x:c>
      <x:c r="F88" s="38" t="str">
        <x:f>IF($A88="","",XLOOKUP($A88,Fixtures!$A$5:$A$204,Fixtures!$G$5:$G$204,""))</x:f>
      </x:c>
      <x:c r="G88" s="38" t="str">
        <x:f>IF($A88="","",IFERROR(INDEX(FILTER('Result Review'!$X$5:$X$204,'Result Review'!$D$5:$D$204=$A88,'Result Review'!$R$5:$R$204="Approved Current"),1),""))</x:f>
      </x:c>
      <x:c r="H88" s="38" t="str">
        <x:f>IF($A88="","",IFERROR(INDEX(FILTER('Result Review'!$Y$5:$Y$204,'Result Review'!$D$5:$D$204=$A88,'Result Review'!$R$5:$R$204="Approved Current"),1),""))</x:f>
      </x:c>
      <x:c r="I88" s="38" t="str">
        <x:f>IF($A88="","",IFERROR(INDEX(FILTER('Result Review'!$J$5:$J$204,'Result Review'!$D$5:$D$204=$A88,'Result Review'!$R$5:$R$204="Approved Current"),1),""))</x:f>
      </x:c>
      <x:c r="J88" s="38" t="str">
        <x:f>IF($A88="","",IFERROR(INDEX(FILTER('Result Review'!$K$5:$K$204,'Result Review'!$D$5:$D$204=$A88,'Result Review'!$R$5:$R$204="Approved Current"),1),""))</x:f>
      </x:c>
      <x:c r="K88" s="38" t="str">
        <x:f>IF($A88="","",IFERROR(INDEX(FILTER('Result Review'!$Z$5:$Z$204,'Result Review'!$D$5:$D$204=$A88,'Result Review'!$R$5:$R$204="Approved Current"),1),""))</x:f>
      </x:c>
      <x:c r="L88" s="60" t="str">
        <x:f>IF($A88="","",IFERROR(INDEX(FILTER('Result Review'!$L$5:$L$204,'Result Review'!$D$5:$D$204=$A88,'Result Review'!$R$5:$R$204="Approved Current"),1),""))</x:f>
      </x:c>
      <x:c r="M88" s="38" t="str">
        <x:f>IF($A88="","",IFERROR(INDEX(FILTER('Result Review'!$B$5:$B$204,'Result Review'!$D$5:$D$204=$A88,'Result Review'!$R$5:$R$204="Approved Current"),1),""))</x:f>
      </x:c>
      <x:c r="N88" s="38" t="str">
        <x:f>IF($A88="","","Approved Current")</x:f>
      </x:c>
      <x:c r="O88" s="49" t="str">
        <x:f>IF($A88="","","Derived from Result Review row "&amp;M88)</x:f>
      </x:c>
    </x:row>
    <x:row r="89" ht="15" hidden="0" customHeight="1">
      <x:c r="A89" s="48" t="str">
        <x:f>IF(Fixtures!A89="","",IF(COUNTIFS('Result Review'!$D$5:$D$204,Fixtures!A89,'Result Review'!$R$5:$R$204,"Approved Current")=1,Fixtures!A89,""))</x:f>
      </x:c>
      <x:c r="B89" s="38" t="str">
        <x:f>IF($A89="","",XLOOKUP($A89,Fixtures!$A$5:$A$204,Fixtures!$B$5:$B$204,""))</x:f>
      </x:c>
      <x:c r="C89" s="38" t="str">
        <x:f>IF($A89="","",XLOOKUP($A89,Fixtures!$A$5:$A$204,Fixtures!$D$5:$D$204,""))</x:f>
      </x:c>
      <x:c r="D89" s="38" t="str">
        <x:f>IF($A89="","",XLOOKUP($A89,Fixtures!$A$5:$A$204,Fixtures!$E$5:$E$204,""))</x:f>
      </x:c>
      <x:c r="E89" s="38" t="str">
        <x:f>IF($A89="","",XLOOKUP($A89,Fixtures!$A$5:$A$204,Fixtures!$F$5:$F$204,""))</x:f>
      </x:c>
      <x:c r="F89" s="38" t="str">
        <x:f>IF($A89="","",XLOOKUP($A89,Fixtures!$A$5:$A$204,Fixtures!$G$5:$G$204,""))</x:f>
      </x:c>
      <x:c r="G89" s="38" t="str">
        <x:f>IF($A89="","",IFERROR(INDEX(FILTER('Result Review'!$X$5:$X$204,'Result Review'!$D$5:$D$204=$A89,'Result Review'!$R$5:$R$204="Approved Current"),1),""))</x:f>
      </x:c>
      <x:c r="H89" s="38" t="str">
        <x:f>IF($A89="","",IFERROR(INDEX(FILTER('Result Review'!$Y$5:$Y$204,'Result Review'!$D$5:$D$204=$A89,'Result Review'!$R$5:$R$204="Approved Current"),1),""))</x:f>
      </x:c>
      <x:c r="I89" s="38" t="str">
        <x:f>IF($A89="","",IFERROR(INDEX(FILTER('Result Review'!$J$5:$J$204,'Result Review'!$D$5:$D$204=$A89,'Result Review'!$R$5:$R$204="Approved Current"),1),""))</x:f>
      </x:c>
      <x:c r="J89" s="38" t="str">
        <x:f>IF($A89="","",IFERROR(INDEX(FILTER('Result Review'!$K$5:$K$204,'Result Review'!$D$5:$D$204=$A89,'Result Review'!$R$5:$R$204="Approved Current"),1),""))</x:f>
      </x:c>
      <x:c r="K89" s="38" t="str">
        <x:f>IF($A89="","",IFERROR(INDEX(FILTER('Result Review'!$Z$5:$Z$204,'Result Review'!$D$5:$D$204=$A89,'Result Review'!$R$5:$R$204="Approved Current"),1),""))</x:f>
      </x:c>
      <x:c r="L89" s="60" t="str">
        <x:f>IF($A89="","",IFERROR(INDEX(FILTER('Result Review'!$L$5:$L$204,'Result Review'!$D$5:$D$204=$A89,'Result Review'!$R$5:$R$204="Approved Current"),1),""))</x:f>
      </x:c>
      <x:c r="M89" s="38" t="str">
        <x:f>IF($A89="","",IFERROR(INDEX(FILTER('Result Review'!$B$5:$B$204,'Result Review'!$D$5:$D$204=$A89,'Result Review'!$R$5:$R$204="Approved Current"),1),""))</x:f>
      </x:c>
      <x:c r="N89" s="38" t="str">
        <x:f>IF($A89="","","Approved Current")</x:f>
      </x:c>
      <x:c r="O89" s="49" t="str">
        <x:f>IF($A89="","","Derived from Result Review row "&amp;M89)</x:f>
      </x:c>
    </x:row>
    <x:row r="90" ht="15" hidden="0" customHeight="1">
      <x:c r="A90" s="48" t="str">
        <x:f>IF(Fixtures!A90="","",IF(COUNTIFS('Result Review'!$D$5:$D$204,Fixtures!A90,'Result Review'!$R$5:$R$204,"Approved Current")=1,Fixtures!A90,""))</x:f>
      </x:c>
      <x:c r="B90" s="38" t="str">
        <x:f>IF($A90="","",XLOOKUP($A90,Fixtures!$A$5:$A$204,Fixtures!$B$5:$B$204,""))</x:f>
      </x:c>
      <x:c r="C90" s="38" t="str">
        <x:f>IF($A90="","",XLOOKUP($A90,Fixtures!$A$5:$A$204,Fixtures!$D$5:$D$204,""))</x:f>
      </x:c>
      <x:c r="D90" s="38" t="str">
        <x:f>IF($A90="","",XLOOKUP($A90,Fixtures!$A$5:$A$204,Fixtures!$E$5:$E$204,""))</x:f>
      </x:c>
      <x:c r="E90" s="38" t="str">
        <x:f>IF($A90="","",XLOOKUP($A90,Fixtures!$A$5:$A$204,Fixtures!$F$5:$F$204,""))</x:f>
      </x:c>
      <x:c r="F90" s="38" t="str">
        <x:f>IF($A90="","",XLOOKUP($A90,Fixtures!$A$5:$A$204,Fixtures!$G$5:$G$204,""))</x:f>
      </x:c>
      <x:c r="G90" s="38" t="str">
        <x:f>IF($A90="","",IFERROR(INDEX(FILTER('Result Review'!$X$5:$X$204,'Result Review'!$D$5:$D$204=$A90,'Result Review'!$R$5:$R$204="Approved Current"),1),""))</x:f>
      </x:c>
      <x:c r="H90" s="38" t="str">
        <x:f>IF($A90="","",IFERROR(INDEX(FILTER('Result Review'!$Y$5:$Y$204,'Result Review'!$D$5:$D$204=$A90,'Result Review'!$R$5:$R$204="Approved Current"),1),""))</x:f>
      </x:c>
      <x:c r="I90" s="38" t="str">
        <x:f>IF($A90="","",IFERROR(INDEX(FILTER('Result Review'!$J$5:$J$204,'Result Review'!$D$5:$D$204=$A90,'Result Review'!$R$5:$R$204="Approved Current"),1),""))</x:f>
      </x:c>
      <x:c r="J90" s="38" t="str">
        <x:f>IF($A90="","",IFERROR(INDEX(FILTER('Result Review'!$K$5:$K$204,'Result Review'!$D$5:$D$204=$A90,'Result Review'!$R$5:$R$204="Approved Current"),1),""))</x:f>
      </x:c>
      <x:c r="K90" s="38" t="str">
        <x:f>IF($A90="","",IFERROR(INDEX(FILTER('Result Review'!$Z$5:$Z$204,'Result Review'!$D$5:$D$204=$A90,'Result Review'!$R$5:$R$204="Approved Current"),1),""))</x:f>
      </x:c>
      <x:c r="L90" s="60" t="str">
        <x:f>IF($A90="","",IFERROR(INDEX(FILTER('Result Review'!$L$5:$L$204,'Result Review'!$D$5:$D$204=$A90,'Result Review'!$R$5:$R$204="Approved Current"),1),""))</x:f>
      </x:c>
      <x:c r="M90" s="38" t="str">
        <x:f>IF($A90="","",IFERROR(INDEX(FILTER('Result Review'!$B$5:$B$204,'Result Review'!$D$5:$D$204=$A90,'Result Review'!$R$5:$R$204="Approved Current"),1),""))</x:f>
      </x:c>
      <x:c r="N90" s="38" t="str">
        <x:f>IF($A90="","","Approved Current")</x:f>
      </x:c>
      <x:c r="O90" s="49" t="str">
        <x:f>IF($A90="","","Derived from Result Review row "&amp;M90)</x:f>
      </x:c>
    </x:row>
    <x:row r="91" ht="15" hidden="0" customHeight="1">
      <x:c r="A91" s="48" t="str">
        <x:f>IF(Fixtures!A91="","",IF(COUNTIFS('Result Review'!$D$5:$D$204,Fixtures!A91,'Result Review'!$R$5:$R$204,"Approved Current")=1,Fixtures!A91,""))</x:f>
      </x:c>
      <x:c r="B91" s="38" t="str">
        <x:f>IF($A91="","",XLOOKUP($A91,Fixtures!$A$5:$A$204,Fixtures!$B$5:$B$204,""))</x:f>
      </x:c>
      <x:c r="C91" s="38" t="str">
        <x:f>IF($A91="","",XLOOKUP($A91,Fixtures!$A$5:$A$204,Fixtures!$D$5:$D$204,""))</x:f>
      </x:c>
      <x:c r="D91" s="38" t="str">
        <x:f>IF($A91="","",XLOOKUP($A91,Fixtures!$A$5:$A$204,Fixtures!$E$5:$E$204,""))</x:f>
      </x:c>
      <x:c r="E91" s="38" t="str">
        <x:f>IF($A91="","",XLOOKUP($A91,Fixtures!$A$5:$A$204,Fixtures!$F$5:$F$204,""))</x:f>
      </x:c>
      <x:c r="F91" s="38" t="str">
        <x:f>IF($A91="","",XLOOKUP($A91,Fixtures!$A$5:$A$204,Fixtures!$G$5:$G$204,""))</x:f>
      </x:c>
      <x:c r="G91" s="38" t="str">
        <x:f>IF($A91="","",IFERROR(INDEX(FILTER('Result Review'!$X$5:$X$204,'Result Review'!$D$5:$D$204=$A91,'Result Review'!$R$5:$R$204="Approved Current"),1),""))</x:f>
      </x:c>
      <x:c r="H91" s="38" t="str">
        <x:f>IF($A91="","",IFERROR(INDEX(FILTER('Result Review'!$Y$5:$Y$204,'Result Review'!$D$5:$D$204=$A91,'Result Review'!$R$5:$R$204="Approved Current"),1),""))</x:f>
      </x:c>
      <x:c r="I91" s="38" t="str">
        <x:f>IF($A91="","",IFERROR(INDEX(FILTER('Result Review'!$J$5:$J$204,'Result Review'!$D$5:$D$204=$A91,'Result Review'!$R$5:$R$204="Approved Current"),1),""))</x:f>
      </x:c>
      <x:c r="J91" s="38" t="str">
        <x:f>IF($A91="","",IFERROR(INDEX(FILTER('Result Review'!$K$5:$K$204,'Result Review'!$D$5:$D$204=$A91,'Result Review'!$R$5:$R$204="Approved Current"),1),""))</x:f>
      </x:c>
      <x:c r="K91" s="38" t="str">
        <x:f>IF($A91="","",IFERROR(INDEX(FILTER('Result Review'!$Z$5:$Z$204,'Result Review'!$D$5:$D$204=$A91,'Result Review'!$R$5:$R$204="Approved Current"),1),""))</x:f>
      </x:c>
      <x:c r="L91" s="60" t="str">
        <x:f>IF($A91="","",IFERROR(INDEX(FILTER('Result Review'!$L$5:$L$204,'Result Review'!$D$5:$D$204=$A91,'Result Review'!$R$5:$R$204="Approved Current"),1),""))</x:f>
      </x:c>
      <x:c r="M91" s="38" t="str">
        <x:f>IF($A91="","",IFERROR(INDEX(FILTER('Result Review'!$B$5:$B$204,'Result Review'!$D$5:$D$204=$A91,'Result Review'!$R$5:$R$204="Approved Current"),1),""))</x:f>
      </x:c>
      <x:c r="N91" s="38" t="str">
        <x:f>IF($A91="","","Approved Current")</x:f>
      </x:c>
      <x:c r="O91" s="49" t="str">
        <x:f>IF($A91="","","Derived from Result Review row "&amp;M91)</x:f>
      </x:c>
    </x:row>
    <x:row r="92" ht="15" hidden="0" customHeight="1">
      <x:c r="A92" s="48" t="str">
        <x:f>IF(Fixtures!A92="","",IF(COUNTIFS('Result Review'!$D$5:$D$204,Fixtures!A92,'Result Review'!$R$5:$R$204,"Approved Current")=1,Fixtures!A92,""))</x:f>
      </x:c>
      <x:c r="B92" s="38" t="str">
        <x:f>IF($A92="","",XLOOKUP($A92,Fixtures!$A$5:$A$204,Fixtures!$B$5:$B$204,""))</x:f>
      </x:c>
      <x:c r="C92" s="38" t="str">
        <x:f>IF($A92="","",XLOOKUP($A92,Fixtures!$A$5:$A$204,Fixtures!$D$5:$D$204,""))</x:f>
      </x:c>
      <x:c r="D92" s="38" t="str">
        <x:f>IF($A92="","",XLOOKUP($A92,Fixtures!$A$5:$A$204,Fixtures!$E$5:$E$204,""))</x:f>
      </x:c>
      <x:c r="E92" s="38" t="str">
        <x:f>IF($A92="","",XLOOKUP($A92,Fixtures!$A$5:$A$204,Fixtures!$F$5:$F$204,""))</x:f>
      </x:c>
      <x:c r="F92" s="38" t="str">
        <x:f>IF($A92="","",XLOOKUP($A92,Fixtures!$A$5:$A$204,Fixtures!$G$5:$G$204,""))</x:f>
      </x:c>
      <x:c r="G92" s="38" t="str">
        <x:f>IF($A92="","",IFERROR(INDEX(FILTER('Result Review'!$X$5:$X$204,'Result Review'!$D$5:$D$204=$A92,'Result Review'!$R$5:$R$204="Approved Current"),1),""))</x:f>
      </x:c>
      <x:c r="H92" s="38" t="str">
        <x:f>IF($A92="","",IFERROR(INDEX(FILTER('Result Review'!$Y$5:$Y$204,'Result Review'!$D$5:$D$204=$A92,'Result Review'!$R$5:$R$204="Approved Current"),1),""))</x:f>
      </x:c>
      <x:c r="I92" s="38" t="str">
        <x:f>IF($A92="","",IFERROR(INDEX(FILTER('Result Review'!$J$5:$J$204,'Result Review'!$D$5:$D$204=$A92,'Result Review'!$R$5:$R$204="Approved Current"),1),""))</x:f>
      </x:c>
      <x:c r="J92" s="38" t="str">
        <x:f>IF($A92="","",IFERROR(INDEX(FILTER('Result Review'!$K$5:$K$204,'Result Review'!$D$5:$D$204=$A92,'Result Review'!$R$5:$R$204="Approved Current"),1),""))</x:f>
      </x:c>
      <x:c r="K92" s="38" t="str">
        <x:f>IF($A92="","",IFERROR(INDEX(FILTER('Result Review'!$Z$5:$Z$204,'Result Review'!$D$5:$D$204=$A92,'Result Review'!$R$5:$R$204="Approved Current"),1),""))</x:f>
      </x:c>
      <x:c r="L92" s="60" t="str">
        <x:f>IF($A92="","",IFERROR(INDEX(FILTER('Result Review'!$L$5:$L$204,'Result Review'!$D$5:$D$204=$A92,'Result Review'!$R$5:$R$204="Approved Current"),1),""))</x:f>
      </x:c>
      <x:c r="M92" s="38" t="str">
        <x:f>IF($A92="","",IFERROR(INDEX(FILTER('Result Review'!$B$5:$B$204,'Result Review'!$D$5:$D$204=$A92,'Result Review'!$R$5:$R$204="Approved Current"),1),""))</x:f>
      </x:c>
      <x:c r="N92" s="38" t="str">
        <x:f>IF($A92="","","Approved Current")</x:f>
      </x:c>
      <x:c r="O92" s="49" t="str">
        <x:f>IF($A92="","","Derived from Result Review row "&amp;M92)</x:f>
      </x:c>
    </x:row>
    <x:row r="93" ht="15" hidden="0" customHeight="1">
      <x:c r="A93" s="48" t="str">
        <x:f>IF(Fixtures!A93="","",IF(COUNTIFS('Result Review'!$D$5:$D$204,Fixtures!A93,'Result Review'!$R$5:$R$204,"Approved Current")=1,Fixtures!A93,""))</x:f>
      </x:c>
      <x:c r="B93" s="38" t="str">
        <x:f>IF($A93="","",XLOOKUP($A93,Fixtures!$A$5:$A$204,Fixtures!$B$5:$B$204,""))</x:f>
      </x:c>
      <x:c r="C93" s="38" t="str">
        <x:f>IF($A93="","",XLOOKUP($A93,Fixtures!$A$5:$A$204,Fixtures!$D$5:$D$204,""))</x:f>
      </x:c>
      <x:c r="D93" s="38" t="str">
        <x:f>IF($A93="","",XLOOKUP($A93,Fixtures!$A$5:$A$204,Fixtures!$E$5:$E$204,""))</x:f>
      </x:c>
      <x:c r="E93" s="38" t="str">
        <x:f>IF($A93="","",XLOOKUP($A93,Fixtures!$A$5:$A$204,Fixtures!$F$5:$F$204,""))</x:f>
      </x:c>
      <x:c r="F93" s="38" t="str">
        <x:f>IF($A93="","",XLOOKUP($A93,Fixtures!$A$5:$A$204,Fixtures!$G$5:$G$204,""))</x:f>
      </x:c>
      <x:c r="G93" s="38" t="str">
        <x:f>IF($A93="","",IFERROR(INDEX(FILTER('Result Review'!$X$5:$X$204,'Result Review'!$D$5:$D$204=$A93,'Result Review'!$R$5:$R$204="Approved Current"),1),""))</x:f>
      </x:c>
      <x:c r="H93" s="38" t="str">
        <x:f>IF($A93="","",IFERROR(INDEX(FILTER('Result Review'!$Y$5:$Y$204,'Result Review'!$D$5:$D$204=$A93,'Result Review'!$R$5:$R$204="Approved Current"),1),""))</x:f>
      </x:c>
      <x:c r="I93" s="38" t="str">
        <x:f>IF($A93="","",IFERROR(INDEX(FILTER('Result Review'!$J$5:$J$204,'Result Review'!$D$5:$D$204=$A93,'Result Review'!$R$5:$R$204="Approved Current"),1),""))</x:f>
      </x:c>
      <x:c r="J93" s="38" t="str">
        <x:f>IF($A93="","",IFERROR(INDEX(FILTER('Result Review'!$K$5:$K$204,'Result Review'!$D$5:$D$204=$A93,'Result Review'!$R$5:$R$204="Approved Current"),1),""))</x:f>
      </x:c>
      <x:c r="K93" s="38" t="str">
        <x:f>IF($A93="","",IFERROR(INDEX(FILTER('Result Review'!$Z$5:$Z$204,'Result Review'!$D$5:$D$204=$A93,'Result Review'!$R$5:$R$204="Approved Current"),1),""))</x:f>
      </x:c>
      <x:c r="L93" s="60" t="str">
        <x:f>IF($A93="","",IFERROR(INDEX(FILTER('Result Review'!$L$5:$L$204,'Result Review'!$D$5:$D$204=$A93,'Result Review'!$R$5:$R$204="Approved Current"),1),""))</x:f>
      </x:c>
      <x:c r="M93" s="38" t="str">
        <x:f>IF($A93="","",IFERROR(INDEX(FILTER('Result Review'!$B$5:$B$204,'Result Review'!$D$5:$D$204=$A93,'Result Review'!$R$5:$R$204="Approved Current"),1),""))</x:f>
      </x:c>
      <x:c r="N93" s="38" t="str">
        <x:f>IF($A93="","","Approved Current")</x:f>
      </x:c>
      <x:c r="O93" s="49" t="str">
        <x:f>IF($A93="","","Derived from Result Review row "&amp;M93)</x:f>
      </x:c>
    </x:row>
    <x:row r="94" ht="15" hidden="0" customHeight="1">
      <x:c r="A94" s="48" t="str">
        <x:f>IF(Fixtures!A94="","",IF(COUNTIFS('Result Review'!$D$5:$D$204,Fixtures!A94,'Result Review'!$R$5:$R$204,"Approved Current")=1,Fixtures!A94,""))</x:f>
      </x:c>
      <x:c r="B94" s="38" t="str">
        <x:f>IF($A94="","",XLOOKUP($A94,Fixtures!$A$5:$A$204,Fixtures!$B$5:$B$204,""))</x:f>
      </x:c>
      <x:c r="C94" s="38" t="str">
        <x:f>IF($A94="","",XLOOKUP($A94,Fixtures!$A$5:$A$204,Fixtures!$D$5:$D$204,""))</x:f>
      </x:c>
      <x:c r="D94" s="38" t="str">
        <x:f>IF($A94="","",XLOOKUP($A94,Fixtures!$A$5:$A$204,Fixtures!$E$5:$E$204,""))</x:f>
      </x:c>
      <x:c r="E94" s="38" t="str">
        <x:f>IF($A94="","",XLOOKUP($A94,Fixtures!$A$5:$A$204,Fixtures!$F$5:$F$204,""))</x:f>
      </x:c>
      <x:c r="F94" s="38" t="str">
        <x:f>IF($A94="","",XLOOKUP($A94,Fixtures!$A$5:$A$204,Fixtures!$G$5:$G$204,""))</x:f>
      </x:c>
      <x:c r="G94" s="38" t="str">
        <x:f>IF($A94="","",IFERROR(INDEX(FILTER('Result Review'!$X$5:$X$204,'Result Review'!$D$5:$D$204=$A94,'Result Review'!$R$5:$R$204="Approved Current"),1),""))</x:f>
      </x:c>
      <x:c r="H94" s="38" t="str">
        <x:f>IF($A94="","",IFERROR(INDEX(FILTER('Result Review'!$Y$5:$Y$204,'Result Review'!$D$5:$D$204=$A94,'Result Review'!$R$5:$R$204="Approved Current"),1),""))</x:f>
      </x:c>
      <x:c r="I94" s="38" t="str">
        <x:f>IF($A94="","",IFERROR(INDEX(FILTER('Result Review'!$J$5:$J$204,'Result Review'!$D$5:$D$204=$A94,'Result Review'!$R$5:$R$204="Approved Current"),1),""))</x:f>
      </x:c>
      <x:c r="J94" s="38" t="str">
        <x:f>IF($A94="","",IFERROR(INDEX(FILTER('Result Review'!$K$5:$K$204,'Result Review'!$D$5:$D$204=$A94,'Result Review'!$R$5:$R$204="Approved Current"),1),""))</x:f>
      </x:c>
      <x:c r="K94" s="38" t="str">
        <x:f>IF($A94="","",IFERROR(INDEX(FILTER('Result Review'!$Z$5:$Z$204,'Result Review'!$D$5:$D$204=$A94,'Result Review'!$R$5:$R$204="Approved Current"),1),""))</x:f>
      </x:c>
      <x:c r="L94" s="60" t="str">
        <x:f>IF($A94="","",IFERROR(INDEX(FILTER('Result Review'!$L$5:$L$204,'Result Review'!$D$5:$D$204=$A94,'Result Review'!$R$5:$R$204="Approved Current"),1),""))</x:f>
      </x:c>
      <x:c r="M94" s="38" t="str">
        <x:f>IF($A94="","",IFERROR(INDEX(FILTER('Result Review'!$B$5:$B$204,'Result Review'!$D$5:$D$204=$A94,'Result Review'!$R$5:$R$204="Approved Current"),1),""))</x:f>
      </x:c>
      <x:c r="N94" s="38" t="str">
        <x:f>IF($A94="","","Approved Current")</x:f>
      </x:c>
      <x:c r="O94" s="49" t="str">
        <x:f>IF($A94="","","Derived from Result Review row "&amp;M94)</x:f>
      </x:c>
    </x:row>
    <x:row r="95" ht="15" hidden="0" customHeight="1">
      <x:c r="A95" s="48" t="str">
        <x:f>IF(Fixtures!A95="","",IF(COUNTIFS('Result Review'!$D$5:$D$204,Fixtures!A95,'Result Review'!$R$5:$R$204,"Approved Current")=1,Fixtures!A95,""))</x:f>
      </x:c>
      <x:c r="B95" s="38" t="str">
        <x:f>IF($A95="","",XLOOKUP($A95,Fixtures!$A$5:$A$204,Fixtures!$B$5:$B$204,""))</x:f>
      </x:c>
      <x:c r="C95" s="38" t="str">
        <x:f>IF($A95="","",XLOOKUP($A95,Fixtures!$A$5:$A$204,Fixtures!$D$5:$D$204,""))</x:f>
      </x:c>
      <x:c r="D95" s="38" t="str">
        <x:f>IF($A95="","",XLOOKUP($A95,Fixtures!$A$5:$A$204,Fixtures!$E$5:$E$204,""))</x:f>
      </x:c>
      <x:c r="E95" s="38" t="str">
        <x:f>IF($A95="","",XLOOKUP($A95,Fixtures!$A$5:$A$204,Fixtures!$F$5:$F$204,""))</x:f>
      </x:c>
      <x:c r="F95" s="38" t="str">
        <x:f>IF($A95="","",XLOOKUP($A95,Fixtures!$A$5:$A$204,Fixtures!$G$5:$G$204,""))</x:f>
      </x:c>
      <x:c r="G95" s="38" t="str">
        <x:f>IF($A95="","",IFERROR(INDEX(FILTER('Result Review'!$X$5:$X$204,'Result Review'!$D$5:$D$204=$A95,'Result Review'!$R$5:$R$204="Approved Current"),1),""))</x:f>
      </x:c>
      <x:c r="H95" s="38" t="str">
        <x:f>IF($A95="","",IFERROR(INDEX(FILTER('Result Review'!$Y$5:$Y$204,'Result Review'!$D$5:$D$204=$A95,'Result Review'!$R$5:$R$204="Approved Current"),1),""))</x:f>
      </x:c>
      <x:c r="I95" s="38" t="str">
        <x:f>IF($A95="","",IFERROR(INDEX(FILTER('Result Review'!$J$5:$J$204,'Result Review'!$D$5:$D$204=$A95,'Result Review'!$R$5:$R$204="Approved Current"),1),""))</x:f>
      </x:c>
      <x:c r="J95" s="38" t="str">
        <x:f>IF($A95="","",IFERROR(INDEX(FILTER('Result Review'!$K$5:$K$204,'Result Review'!$D$5:$D$204=$A95,'Result Review'!$R$5:$R$204="Approved Current"),1),""))</x:f>
      </x:c>
      <x:c r="K95" s="38" t="str">
        <x:f>IF($A95="","",IFERROR(INDEX(FILTER('Result Review'!$Z$5:$Z$204,'Result Review'!$D$5:$D$204=$A95,'Result Review'!$R$5:$R$204="Approved Current"),1),""))</x:f>
      </x:c>
      <x:c r="L95" s="60" t="str">
        <x:f>IF($A95="","",IFERROR(INDEX(FILTER('Result Review'!$L$5:$L$204,'Result Review'!$D$5:$D$204=$A95,'Result Review'!$R$5:$R$204="Approved Current"),1),""))</x:f>
      </x:c>
      <x:c r="M95" s="38" t="str">
        <x:f>IF($A95="","",IFERROR(INDEX(FILTER('Result Review'!$B$5:$B$204,'Result Review'!$D$5:$D$204=$A95,'Result Review'!$R$5:$R$204="Approved Current"),1),""))</x:f>
      </x:c>
      <x:c r="N95" s="38" t="str">
        <x:f>IF($A95="","","Approved Current")</x:f>
      </x:c>
      <x:c r="O95" s="49" t="str">
        <x:f>IF($A95="","","Derived from Result Review row "&amp;M95)</x:f>
      </x:c>
    </x:row>
    <x:row r="96" ht="15" hidden="0" customHeight="1">
      <x:c r="A96" s="48" t="str">
        <x:f>IF(Fixtures!A96="","",IF(COUNTIFS('Result Review'!$D$5:$D$204,Fixtures!A96,'Result Review'!$R$5:$R$204,"Approved Current")=1,Fixtures!A96,""))</x:f>
      </x:c>
      <x:c r="B96" s="38" t="str">
        <x:f>IF($A96="","",XLOOKUP($A96,Fixtures!$A$5:$A$204,Fixtures!$B$5:$B$204,""))</x:f>
      </x:c>
      <x:c r="C96" s="38" t="str">
        <x:f>IF($A96="","",XLOOKUP($A96,Fixtures!$A$5:$A$204,Fixtures!$D$5:$D$204,""))</x:f>
      </x:c>
      <x:c r="D96" s="38" t="str">
        <x:f>IF($A96="","",XLOOKUP($A96,Fixtures!$A$5:$A$204,Fixtures!$E$5:$E$204,""))</x:f>
      </x:c>
      <x:c r="E96" s="38" t="str">
        <x:f>IF($A96="","",XLOOKUP($A96,Fixtures!$A$5:$A$204,Fixtures!$F$5:$F$204,""))</x:f>
      </x:c>
      <x:c r="F96" s="38" t="str">
        <x:f>IF($A96="","",XLOOKUP($A96,Fixtures!$A$5:$A$204,Fixtures!$G$5:$G$204,""))</x:f>
      </x:c>
      <x:c r="G96" s="38" t="str">
        <x:f>IF($A96="","",IFERROR(INDEX(FILTER('Result Review'!$X$5:$X$204,'Result Review'!$D$5:$D$204=$A96,'Result Review'!$R$5:$R$204="Approved Current"),1),""))</x:f>
      </x:c>
      <x:c r="H96" s="38" t="str">
        <x:f>IF($A96="","",IFERROR(INDEX(FILTER('Result Review'!$Y$5:$Y$204,'Result Review'!$D$5:$D$204=$A96,'Result Review'!$R$5:$R$204="Approved Current"),1),""))</x:f>
      </x:c>
      <x:c r="I96" s="38" t="str">
        <x:f>IF($A96="","",IFERROR(INDEX(FILTER('Result Review'!$J$5:$J$204,'Result Review'!$D$5:$D$204=$A96,'Result Review'!$R$5:$R$204="Approved Current"),1),""))</x:f>
      </x:c>
      <x:c r="J96" s="38" t="str">
        <x:f>IF($A96="","",IFERROR(INDEX(FILTER('Result Review'!$K$5:$K$204,'Result Review'!$D$5:$D$204=$A96,'Result Review'!$R$5:$R$204="Approved Current"),1),""))</x:f>
      </x:c>
      <x:c r="K96" s="38" t="str">
        <x:f>IF($A96="","",IFERROR(INDEX(FILTER('Result Review'!$Z$5:$Z$204,'Result Review'!$D$5:$D$204=$A96,'Result Review'!$R$5:$R$204="Approved Current"),1),""))</x:f>
      </x:c>
      <x:c r="L96" s="60" t="str">
        <x:f>IF($A96="","",IFERROR(INDEX(FILTER('Result Review'!$L$5:$L$204,'Result Review'!$D$5:$D$204=$A96,'Result Review'!$R$5:$R$204="Approved Current"),1),""))</x:f>
      </x:c>
      <x:c r="M96" s="38" t="str">
        <x:f>IF($A96="","",IFERROR(INDEX(FILTER('Result Review'!$B$5:$B$204,'Result Review'!$D$5:$D$204=$A96,'Result Review'!$R$5:$R$204="Approved Current"),1),""))</x:f>
      </x:c>
      <x:c r="N96" s="38" t="str">
        <x:f>IF($A96="","","Approved Current")</x:f>
      </x:c>
      <x:c r="O96" s="49" t="str">
        <x:f>IF($A96="","","Derived from Result Review row "&amp;M96)</x:f>
      </x:c>
    </x:row>
    <x:row r="97" ht="15" hidden="0" customHeight="1">
      <x:c r="A97" s="48" t="str">
        <x:f>IF(Fixtures!A97="","",IF(COUNTIFS('Result Review'!$D$5:$D$204,Fixtures!A97,'Result Review'!$R$5:$R$204,"Approved Current")=1,Fixtures!A97,""))</x:f>
      </x:c>
      <x:c r="B97" s="38" t="str">
        <x:f>IF($A97="","",XLOOKUP($A97,Fixtures!$A$5:$A$204,Fixtures!$B$5:$B$204,""))</x:f>
      </x:c>
      <x:c r="C97" s="38" t="str">
        <x:f>IF($A97="","",XLOOKUP($A97,Fixtures!$A$5:$A$204,Fixtures!$D$5:$D$204,""))</x:f>
      </x:c>
      <x:c r="D97" s="38" t="str">
        <x:f>IF($A97="","",XLOOKUP($A97,Fixtures!$A$5:$A$204,Fixtures!$E$5:$E$204,""))</x:f>
      </x:c>
      <x:c r="E97" s="38" t="str">
        <x:f>IF($A97="","",XLOOKUP($A97,Fixtures!$A$5:$A$204,Fixtures!$F$5:$F$204,""))</x:f>
      </x:c>
      <x:c r="F97" s="38" t="str">
        <x:f>IF($A97="","",XLOOKUP($A97,Fixtures!$A$5:$A$204,Fixtures!$G$5:$G$204,""))</x:f>
      </x:c>
      <x:c r="G97" s="38" t="str">
        <x:f>IF($A97="","",IFERROR(INDEX(FILTER('Result Review'!$X$5:$X$204,'Result Review'!$D$5:$D$204=$A97,'Result Review'!$R$5:$R$204="Approved Current"),1),""))</x:f>
      </x:c>
      <x:c r="H97" s="38" t="str">
        <x:f>IF($A97="","",IFERROR(INDEX(FILTER('Result Review'!$Y$5:$Y$204,'Result Review'!$D$5:$D$204=$A97,'Result Review'!$R$5:$R$204="Approved Current"),1),""))</x:f>
      </x:c>
      <x:c r="I97" s="38" t="str">
        <x:f>IF($A97="","",IFERROR(INDEX(FILTER('Result Review'!$J$5:$J$204,'Result Review'!$D$5:$D$204=$A97,'Result Review'!$R$5:$R$204="Approved Current"),1),""))</x:f>
      </x:c>
      <x:c r="J97" s="38" t="str">
        <x:f>IF($A97="","",IFERROR(INDEX(FILTER('Result Review'!$K$5:$K$204,'Result Review'!$D$5:$D$204=$A97,'Result Review'!$R$5:$R$204="Approved Current"),1),""))</x:f>
      </x:c>
      <x:c r="K97" s="38" t="str">
        <x:f>IF($A97="","",IFERROR(INDEX(FILTER('Result Review'!$Z$5:$Z$204,'Result Review'!$D$5:$D$204=$A97,'Result Review'!$R$5:$R$204="Approved Current"),1),""))</x:f>
      </x:c>
      <x:c r="L97" s="60" t="str">
        <x:f>IF($A97="","",IFERROR(INDEX(FILTER('Result Review'!$L$5:$L$204,'Result Review'!$D$5:$D$204=$A97,'Result Review'!$R$5:$R$204="Approved Current"),1),""))</x:f>
      </x:c>
      <x:c r="M97" s="38" t="str">
        <x:f>IF($A97="","",IFERROR(INDEX(FILTER('Result Review'!$B$5:$B$204,'Result Review'!$D$5:$D$204=$A97,'Result Review'!$R$5:$R$204="Approved Current"),1),""))</x:f>
      </x:c>
      <x:c r="N97" s="38" t="str">
        <x:f>IF($A97="","","Approved Current")</x:f>
      </x:c>
      <x:c r="O97" s="49" t="str">
        <x:f>IF($A97="","","Derived from Result Review row "&amp;M97)</x:f>
      </x:c>
    </x:row>
    <x:row r="98" ht="15" hidden="0" customHeight="1">
      <x:c r="A98" s="48" t="str">
        <x:f>IF(Fixtures!A98="","",IF(COUNTIFS('Result Review'!$D$5:$D$204,Fixtures!A98,'Result Review'!$R$5:$R$204,"Approved Current")=1,Fixtures!A98,""))</x:f>
      </x:c>
      <x:c r="B98" s="38" t="str">
        <x:f>IF($A98="","",XLOOKUP($A98,Fixtures!$A$5:$A$204,Fixtures!$B$5:$B$204,""))</x:f>
      </x:c>
      <x:c r="C98" s="38" t="str">
        <x:f>IF($A98="","",XLOOKUP($A98,Fixtures!$A$5:$A$204,Fixtures!$D$5:$D$204,""))</x:f>
      </x:c>
      <x:c r="D98" s="38" t="str">
        <x:f>IF($A98="","",XLOOKUP($A98,Fixtures!$A$5:$A$204,Fixtures!$E$5:$E$204,""))</x:f>
      </x:c>
      <x:c r="E98" s="38" t="str">
        <x:f>IF($A98="","",XLOOKUP($A98,Fixtures!$A$5:$A$204,Fixtures!$F$5:$F$204,""))</x:f>
      </x:c>
      <x:c r="F98" s="38" t="str">
        <x:f>IF($A98="","",XLOOKUP($A98,Fixtures!$A$5:$A$204,Fixtures!$G$5:$G$204,""))</x:f>
      </x:c>
      <x:c r="G98" s="38" t="str">
        <x:f>IF($A98="","",IFERROR(INDEX(FILTER('Result Review'!$X$5:$X$204,'Result Review'!$D$5:$D$204=$A98,'Result Review'!$R$5:$R$204="Approved Current"),1),""))</x:f>
      </x:c>
      <x:c r="H98" s="38" t="str">
        <x:f>IF($A98="","",IFERROR(INDEX(FILTER('Result Review'!$Y$5:$Y$204,'Result Review'!$D$5:$D$204=$A98,'Result Review'!$R$5:$R$204="Approved Current"),1),""))</x:f>
      </x:c>
      <x:c r="I98" s="38" t="str">
        <x:f>IF($A98="","",IFERROR(INDEX(FILTER('Result Review'!$J$5:$J$204,'Result Review'!$D$5:$D$204=$A98,'Result Review'!$R$5:$R$204="Approved Current"),1),""))</x:f>
      </x:c>
      <x:c r="J98" s="38" t="str">
        <x:f>IF($A98="","",IFERROR(INDEX(FILTER('Result Review'!$K$5:$K$204,'Result Review'!$D$5:$D$204=$A98,'Result Review'!$R$5:$R$204="Approved Current"),1),""))</x:f>
      </x:c>
      <x:c r="K98" s="38" t="str">
        <x:f>IF($A98="","",IFERROR(INDEX(FILTER('Result Review'!$Z$5:$Z$204,'Result Review'!$D$5:$D$204=$A98,'Result Review'!$R$5:$R$204="Approved Current"),1),""))</x:f>
      </x:c>
      <x:c r="L98" s="60" t="str">
        <x:f>IF($A98="","",IFERROR(INDEX(FILTER('Result Review'!$L$5:$L$204,'Result Review'!$D$5:$D$204=$A98,'Result Review'!$R$5:$R$204="Approved Current"),1),""))</x:f>
      </x:c>
      <x:c r="M98" s="38" t="str">
        <x:f>IF($A98="","",IFERROR(INDEX(FILTER('Result Review'!$B$5:$B$204,'Result Review'!$D$5:$D$204=$A98,'Result Review'!$R$5:$R$204="Approved Current"),1),""))</x:f>
      </x:c>
      <x:c r="N98" s="38" t="str">
        <x:f>IF($A98="","","Approved Current")</x:f>
      </x:c>
      <x:c r="O98" s="49" t="str">
        <x:f>IF($A98="","","Derived from Result Review row "&amp;M98)</x:f>
      </x:c>
    </x:row>
    <x:row r="99" ht="15" hidden="0" customHeight="1">
      <x:c r="A99" s="48" t="str">
        <x:f>IF(Fixtures!A99="","",IF(COUNTIFS('Result Review'!$D$5:$D$204,Fixtures!A99,'Result Review'!$R$5:$R$204,"Approved Current")=1,Fixtures!A99,""))</x:f>
      </x:c>
      <x:c r="B99" s="38" t="str">
        <x:f>IF($A99="","",XLOOKUP($A99,Fixtures!$A$5:$A$204,Fixtures!$B$5:$B$204,""))</x:f>
      </x:c>
      <x:c r="C99" s="38" t="str">
        <x:f>IF($A99="","",XLOOKUP($A99,Fixtures!$A$5:$A$204,Fixtures!$D$5:$D$204,""))</x:f>
      </x:c>
      <x:c r="D99" s="38" t="str">
        <x:f>IF($A99="","",XLOOKUP($A99,Fixtures!$A$5:$A$204,Fixtures!$E$5:$E$204,""))</x:f>
      </x:c>
      <x:c r="E99" s="38" t="str">
        <x:f>IF($A99="","",XLOOKUP($A99,Fixtures!$A$5:$A$204,Fixtures!$F$5:$F$204,""))</x:f>
      </x:c>
      <x:c r="F99" s="38" t="str">
        <x:f>IF($A99="","",XLOOKUP($A99,Fixtures!$A$5:$A$204,Fixtures!$G$5:$G$204,""))</x:f>
      </x:c>
      <x:c r="G99" s="38" t="str">
        <x:f>IF($A99="","",IFERROR(INDEX(FILTER('Result Review'!$X$5:$X$204,'Result Review'!$D$5:$D$204=$A99,'Result Review'!$R$5:$R$204="Approved Current"),1),""))</x:f>
      </x:c>
      <x:c r="H99" s="38" t="str">
        <x:f>IF($A99="","",IFERROR(INDEX(FILTER('Result Review'!$Y$5:$Y$204,'Result Review'!$D$5:$D$204=$A99,'Result Review'!$R$5:$R$204="Approved Current"),1),""))</x:f>
      </x:c>
      <x:c r="I99" s="38" t="str">
        <x:f>IF($A99="","",IFERROR(INDEX(FILTER('Result Review'!$J$5:$J$204,'Result Review'!$D$5:$D$204=$A99,'Result Review'!$R$5:$R$204="Approved Current"),1),""))</x:f>
      </x:c>
      <x:c r="J99" s="38" t="str">
        <x:f>IF($A99="","",IFERROR(INDEX(FILTER('Result Review'!$K$5:$K$204,'Result Review'!$D$5:$D$204=$A99,'Result Review'!$R$5:$R$204="Approved Current"),1),""))</x:f>
      </x:c>
      <x:c r="K99" s="38" t="str">
        <x:f>IF($A99="","",IFERROR(INDEX(FILTER('Result Review'!$Z$5:$Z$204,'Result Review'!$D$5:$D$204=$A99,'Result Review'!$R$5:$R$204="Approved Current"),1),""))</x:f>
      </x:c>
      <x:c r="L99" s="60" t="str">
        <x:f>IF($A99="","",IFERROR(INDEX(FILTER('Result Review'!$L$5:$L$204,'Result Review'!$D$5:$D$204=$A99,'Result Review'!$R$5:$R$204="Approved Current"),1),""))</x:f>
      </x:c>
      <x:c r="M99" s="38" t="str">
        <x:f>IF($A99="","",IFERROR(INDEX(FILTER('Result Review'!$B$5:$B$204,'Result Review'!$D$5:$D$204=$A99,'Result Review'!$R$5:$R$204="Approved Current"),1),""))</x:f>
      </x:c>
      <x:c r="N99" s="38" t="str">
        <x:f>IF($A99="","","Approved Current")</x:f>
      </x:c>
      <x:c r="O99" s="49" t="str">
        <x:f>IF($A99="","","Derived from Result Review row "&amp;M99)</x:f>
      </x:c>
    </x:row>
    <x:row r="100" ht="15" hidden="0" customHeight="1">
      <x:c r="A100" s="48" t="str">
        <x:f>IF(Fixtures!A100="","",IF(COUNTIFS('Result Review'!$D$5:$D$204,Fixtures!A100,'Result Review'!$R$5:$R$204,"Approved Current")=1,Fixtures!A100,""))</x:f>
      </x:c>
      <x:c r="B100" s="38" t="str">
        <x:f>IF($A100="","",XLOOKUP($A100,Fixtures!$A$5:$A$204,Fixtures!$B$5:$B$204,""))</x:f>
      </x:c>
      <x:c r="C100" s="38" t="str">
        <x:f>IF($A100="","",XLOOKUP($A100,Fixtures!$A$5:$A$204,Fixtures!$D$5:$D$204,""))</x:f>
      </x:c>
      <x:c r="D100" s="38" t="str">
        <x:f>IF($A100="","",XLOOKUP($A100,Fixtures!$A$5:$A$204,Fixtures!$E$5:$E$204,""))</x:f>
      </x:c>
      <x:c r="E100" s="38" t="str">
        <x:f>IF($A100="","",XLOOKUP($A100,Fixtures!$A$5:$A$204,Fixtures!$F$5:$F$204,""))</x:f>
      </x:c>
      <x:c r="F100" s="38" t="str">
        <x:f>IF($A100="","",XLOOKUP($A100,Fixtures!$A$5:$A$204,Fixtures!$G$5:$G$204,""))</x:f>
      </x:c>
      <x:c r="G100" s="38" t="str">
        <x:f>IF($A100="","",IFERROR(INDEX(FILTER('Result Review'!$X$5:$X$204,'Result Review'!$D$5:$D$204=$A100,'Result Review'!$R$5:$R$204="Approved Current"),1),""))</x:f>
      </x:c>
      <x:c r="H100" s="38" t="str">
        <x:f>IF($A100="","",IFERROR(INDEX(FILTER('Result Review'!$Y$5:$Y$204,'Result Review'!$D$5:$D$204=$A100,'Result Review'!$R$5:$R$204="Approved Current"),1),""))</x:f>
      </x:c>
      <x:c r="I100" s="38" t="str">
        <x:f>IF($A100="","",IFERROR(INDEX(FILTER('Result Review'!$J$5:$J$204,'Result Review'!$D$5:$D$204=$A100,'Result Review'!$R$5:$R$204="Approved Current"),1),""))</x:f>
      </x:c>
      <x:c r="J100" s="38" t="str">
        <x:f>IF($A100="","",IFERROR(INDEX(FILTER('Result Review'!$K$5:$K$204,'Result Review'!$D$5:$D$204=$A100,'Result Review'!$R$5:$R$204="Approved Current"),1),""))</x:f>
      </x:c>
      <x:c r="K100" s="38" t="str">
        <x:f>IF($A100="","",IFERROR(INDEX(FILTER('Result Review'!$Z$5:$Z$204,'Result Review'!$D$5:$D$204=$A100,'Result Review'!$R$5:$R$204="Approved Current"),1),""))</x:f>
      </x:c>
      <x:c r="L100" s="60" t="str">
        <x:f>IF($A100="","",IFERROR(INDEX(FILTER('Result Review'!$L$5:$L$204,'Result Review'!$D$5:$D$204=$A100,'Result Review'!$R$5:$R$204="Approved Current"),1),""))</x:f>
      </x:c>
      <x:c r="M100" s="38" t="str">
        <x:f>IF($A100="","",IFERROR(INDEX(FILTER('Result Review'!$B$5:$B$204,'Result Review'!$D$5:$D$204=$A100,'Result Review'!$R$5:$R$204="Approved Current"),1),""))</x:f>
      </x:c>
      <x:c r="N100" s="38" t="str">
        <x:f>IF($A100="","","Approved Current")</x:f>
      </x:c>
      <x:c r="O100" s="49" t="str">
        <x:f>IF($A100="","","Derived from Result Review row "&amp;M100)</x:f>
      </x:c>
    </x:row>
    <x:row r="101" ht="15" hidden="0" customHeight="1">
      <x:c r="A101" s="48" t="str">
        <x:f>IF(Fixtures!A101="","",IF(COUNTIFS('Result Review'!$D$5:$D$204,Fixtures!A101,'Result Review'!$R$5:$R$204,"Approved Current")=1,Fixtures!A101,""))</x:f>
      </x:c>
      <x:c r="B101" s="38" t="str">
        <x:f>IF($A101="","",XLOOKUP($A101,Fixtures!$A$5:$A$204,Fixtures!$B$5:$B$204,""))</x:f>
      </x:c>
      <x:c r="C101" s="38" t="str">
        <x:f>IF($A101="","",XLOOKUP($A101,Fixtures!$A$5:$A$204,Fixtures!$D$5:$D$204,""))</x:f>
      </x:c>
      <x:c r="D101" s="38" t="str">
        <x:f>IF($A101="","",XLOOKUP($A101,Fixtures!$A$5:$A$204,Fixtures!$E$5:$E$204,""))</x:f>
      </x:c>
      <x:c r="E101" s="38" t="str">
        <x:f>IF($A101="","",XLOOKUP($A101,Fixtures!$A$5:$A$204,Fixtures!$F$5:$F$204,""))</x:f>
      </x:c>
      <x:c r="F101" s="38" t="str">
        <x:f>IF($A101="","",XLOOKUP($A101,Fixtures!$A$5:$A$204,Fixtures!$G$5:$G$204,""))</x:f>
      </x:c>
      <x:c r="G101" s="38" t="str">
        <x:f>IF($A101="","",IFERROR(INDEX(FILTER('Result Review'!$X$5:$X$204,'Result Review'!$D$5:$D$204=$A101,'Result Review'!$R$5:$R$204="Approved Current"),1),""))</x:f>
      </x:c>
      <x:c r="H101" s="38" t="str">
        <x:f>IF($A101="","",IFERROR(INDEX(FILTER('Result Review'!$Y$5:$Y$204,'Result Review'!$D$5:$D$204=$A101,'Result Review'!$R$5:$R$204="Approved Current"),1),""))</x:f>
      </x:c>
      <x:c r="I101" s="38" t="str">
        <x:f>IF($A101="","",IFERROR(INDEX(FILTER('Result Review'!$J$5:$J$204,'Result Review'!$D$5:$D$204=$A101,'Result Review'!$R$5:$R$204="Approved Current"),1),""))</x:f>
      </x:c>
      <x:c r="J101" s="38" t="str">
        <x:f>IF($A101="","",IFERROR(INDEX(FILTER('Result Review'!$K$5:$K$204,'Result Review'!$D$5:$D$204=$A101,'Result Review'!$R$5:$R$204="Approved Current"),1),""))</x:f>
      </x:c>
      <x:c r="K101" s="38" t="str">
        <x:f>IF($A101="","",IFERROR(INDEX(FILTER('Result Review'!$Z$5:$Z$204,'Result Review'!$D$5:$D$204=$A101,'Result Review'!$R$5:$R$204="Approved Current"),1),""))</x:f>
      </x:c>
      <x:c r="L101" s="60" t="str">
        <x:f>IF($A101="","",IFERROR(INDEX(FILTER('Result Review'!$L$5:$L$204,'Result Review'!$D$5:$D$204=$A101,'Result Review'!$R$5:$R$204="Approved Current"),1),""))</x:f>
      </x:c>
      <x:c r="M101" s="38" t="str">
        <x:f>IF($A101="","",IFERROR(INDEX(FILTER('Result Review'!$B$5:$B$204,'Result Review'!$D$5:$D$204=$A101,'Result Review'!$R$5:$R$204="Approved Current"),1),""))</x:f>
      </x:c>
      <x:c r="N101" s="38" t="str">
        <x:f>IF($A101="","","Approved Current")</x:f>
      </x:c>
      <x:c r="O101" s="49" t="str">
        <x:f>IF($A101="","","Derived from Result Review row "&amp;M101)</x:f>
      </x:c>
    </x:row>
    <x:row r="102" ht="15" hidden="0" customHeight="1">
      <x:c r="A102" s="48" t="str">
        <x:f>IF(Fixtures!A102="","",IF(COUNTIFS('Result Review'!$D$5:$D$204,Fixtures!A102,'Result Review'!$R$5:$R$204,"Approved Current")=1,Fixtures!A102,""))</x:f>
      </x:c>
      <x:c r="B102" s="38" t="str">
        <x:f>IF($A102="","",XLOOKUP($A102,Fixtures!$A$5:$A$204,Fixtures!$B$5:$B$204,""))</x:f>
      </x:c>
      <x:c r="C102" s="38" t="str">
        <x:f>IF($A102="","",XLOOKUP($A102,Fixtures!$A$5:$A$204,Fixtures!$D$5:$D$204,""))</x:f>
      </x:c>
      <x:c r="D102" s="38" t="str">
        <x:f>IF($A102="","",XLOOKUP($A102,Fixtures!$A$5:$A$204,Fixtures!$E$5:$E$204,""))</x:f>
      </x:c>
      <x:c r="E102" s="38" t="str">
        <x:f>IF($A102="","",XLOOKUP($A102,Fixtures!$A$5:$A$204,Fixtures!$F$5:$F$204,""))</x:f>
      </x:c>
      <x:c r="F102" s="38" t="str">
        <x:f>IF($A102="","",XLOOKUP($A102,Fixtures!$A$5:$A$204,Fixtures!$G$5:$G$204,""))</x:f>
      </x:c>
      <x:c r="G102" s="38" t="str">
        <x:f>IF($A102="","",IFERROR(INDEX(FILTER('Result Review'!$X$5:$X$204,'Result Review'!$D$5:$D$204=$A102,'Result Review'!$R$5:$R$204="Approved Current"),1),""))</x:f>
      </x:c>
      <x:c r="H102" s="38" t="str">
        <x:f>IF($A102="","",IFERROR(INDEX(FILTER('Result Review'!$Y$5:$Y$204,'Result Review'!$D$5:$D$204=$A102,'Result Review'!$R$5:$R$204="Approved Current"),1),""))</x:f>
      </x:c>
      <x:c r="I102" s="38" t="str">
        <x:f>IF($A102="","",IFERROR(INDEX(FILTER('Result Review'!$J$5:$J$204,'Result Review'!$D$5:$D$204=$A102,'Result Review'!$R$5:$R$204="Approved Current"),1),""))</x:f>
      </x:c>
      <x:c r="J102" s="38" t="str">
        <x:f>IF($A102="","",IFERROR(INDEX(FILTER('Result Review'!$K$5:$K$204,'Result Review'!$D$5:$D$204=$A102,'Result Review'!$R$5:$R$204="Approved Current"),1),""))</x:f>
      </x:c>
      <x:c r="K102" s="38" t="str">
        <x:f>IF($A102="","",IFERROR(INDEX(FILTER('Result Review'!$Z$5:$Z$204,'Result Review'!$D$5:$D$204=$A102,'Result Review'!$R$5:$R$204="Approved Current"),1),""))</x:f>
      </x:c>
      <x:c r="L102" s="60" t="str">
        <x:f>IF($A102="","",IFERROR(INDEX(FILTER('Result Review'!$L$5:$L$204,'Result Review'!$D$5:$D$204=$A102,'Result Review'!$R$5:$R$204="Approved Current"),1),""))</x:f>
      </x:c>
      <x:c r="M102" s="38" t="str">
        <x:f>IF($A102="","",IFERROR(INDEX(FILTER('Result Review'!$B$5:$B$204,'Result Review'!$D$5:$D$204=$A102,'Result Review'!$R$5:$R$204="Approved Current"),1),""))</x:f>
      </x:c>
      <x:c r="N102" s="38" t="str">
        <x:f>IF($A102="","","Approved Current")</x:f>
      </x:c>
      <x:c r="O102" s="49" t="str">
        <x:f>IF($A102="","","Derived from Result Review row "&amp;M102)</x:f>
      </x:c>
    </x:row>
    <x:row r="103" ht="15" hidden="0" customHeight="1">
      <x:c r="A103" s="48" t="str">
        <x:f>IF(Fixtures!A103="","",IF(COUNTIFS('Result Review'!$D$5:$D$204,Fixtures!A103,'Result Review'!$R$5:$R$204,"Approved Current")=1,Fixtures!A103,""))</x:f>
      </x:c>
      <x:c r="B103" s="38" t="str">
        <x:f>IF($A103="","",XLOOKUP($A103,Fixtures!$A$5:$A$204,Fixtures!$B$5:$B$204,""))</x:f>
      </x:c>
      <x:c r="C103" s="38" t="str">
        <x:f>IF($A103="","",XLOOKUP($A103,Fixtures!$A$5:$A$204,Fixtures!$D$5:$D$204,""))</x:f>
      </x:c>
      <x:c r="D103" s="38" t="str">
        <x:f>IF($A103="","",XLOOKUP($A103,Fixtures!$A$5:$A$204,Fixtures!$E$5:$E$204,""))</x:f>
      </x:c>
      <x:c r="E103" s="38" t="str">
        <x:f>IF($A103="","",XLOOKUP($A103,Fixtures!$A$5:$A$204,Fixtures!$F$5:$F$204,""))</x:f>
      </x:c>
      <x:c r="F103" s="38" t="str">
        <x:f>IF($A103="","",XLOOKUP($A103,Fixtures!$A$5:$A$204,Fixtures!$G$5:$G$204,""))</x:f>
      </x:c>
      <x:c r="G103" s="38" t="str">
        <x:f>IF($A103="","",IFERROR(INDEX(FILTER('Result Review'!$X$5:$X$204,'Result Review'!$D$5:$D$204=$A103,'Result Review'!$R$5:$R$204="Approved Current"),1),""))</x:f>
      </x:c>
      <x:c r="H103" s="38" t="str">
        <x:f>IF($A103="","",IFERROR(INDEX(FILTER('Result Review'!$Y$5:$Y$204,'Result Review'!$D$5:$D$204=$A103,'Result Review'!$R$5:$R$204="Approved Current"),1),""))</x:f>
      </x:c>
      <x:c r="I103" s="38" t="str">
        <x:f>IF($A103="","",IFERROR(INDEX(FILTER('Result Review'!$J$5:$J$204,'Result Review'!$D$5:$D$204=$A103,'Result Review'!$R$5:$R$204="Approved Current"),1),""))</x:f>
      </x:c>
      <x:c r="J103" s="38" t="str">
        <x:f>IF($A103="","",IFERROR(INDEX(FILTER('Result Review'!$K$5:$K$204,'Result Review'!$D$5:$D$204=$A103,'Result Review'!$R$5:$R$204="Approved Current"),1),""))</x:f>
      </x:c>
      <x:c r="K103" s="38" t="str">
        <x:f>IF($A103="","",IFERROR(INDEX(FILTER('Result Review'!$Z$5:$Z$204,'Result Review'!$D$5:$D$204=$A103,'Result Review'!$R$5:$R$204="Approved Current"),1),""))</x:f>
      </x:c>
      <x:c r="L103" s="60" t="str">
        <x:f>IF($A103="","",IFERROR(INDEX(FILTER('Result Review'!$L$5:$L$204,'Result Review'!$D$5:$D$204=$A103,'Result Review'!$R$5:$R$204="Approved Current"),1),""))</x:f>
      </x:c>
      <x:c r="M103" s="38" t="str">
        <x:f>IF($A103="","",IFERROR(INDEX(FILTER('Result Review'!$B$5:$B$204,'Result Review'!$D$5:$D$204=$A103,'Result Review'!$R$5:$R$204="Approved Current"),1),""))</x:f>
      </x:c>
      <x:c r="N103" s="38" t="str">
        <x:f>IF($A103="","","Approved Current")</x:f>
      </x:c>
      <x:c r="O103" s="49" t="str">
        <x:f>IF($A103="","","Derived from Result Review row "&amp;M103)</x:f>
      </x:c>
    </x:row>
    <x:row r="104" ht="15" hidden="0" customHeight="1">
      <x:c r="A104" s="48" t="str">
        <x:f>IF(Fixtures!A104="","",IF(COUNTIFS('Result Review'!$D$5:$D$204,Fixtures!A104,'Result Review'!$R$5:$R$204,"Approved Current")=1,Fixtures!A104,""))</x:f>
      </x:c>
      <x:c r="B104" s="38" t="str">
        <x:f>IF($A104="","",XLOOKUP($A104,Fixtures!$A$5:$A$204,Fixtures!$B$5:$B$204,""))</x:f>
      </x:c>
      <x:c r="C104" s="38" t="str">
        <x:f>IF($A104="","",XLOOKUP($A104,Fixtures!$A$5:$A$204,Fixtures!$D$5:$D$204,""))</x:f>
      </x:c>
      <x:c r="D104" s="38" t="str">
        <x:f>IF($A104="","",XLOOKUP($A104,Fixtures!$A$5:$A$204,Fixtures!$E$5:$E$204,""))</x:f>
      </x:c>
      <x:c r="E104" s="38" t="str">
        <x:f>IF($A104="","",XLOOKUP($A104,Fixtures!$A$5:$A$204,Fixtures!$F$5:$F$204,""))</x:f>
      </x:c>
      <x:c r="F104" s="38" t="str">
        <x:f>IF($A104="","",XLOOKUP($A104,Fixtures!$A$5:$A$204,Fixtures!$G$5:$G$204,""))</x:f>
      </x:c>
      <x:c r="G104" s="38" t="str">
        <x:f>IF($A104="","",IFERROR(INDEX(FILTER('Result Review'!$X$5:$X$204,'Result Review'!$D$5:$D$204=$A104,'Result Review'!$R$5:$R$204="Approved Current"),1),""))</x:f>
      </x:c>
      <x:c r="H104" s="38" t="str">
        <x:f>IF($A104="","",IFERROR(INDEX(FILTER('Result Review'!$Y$5:$Y$204,'Result Review'!$D$5:$D$204=$A104,'Result Review'!$R$5:$R$204="Approved Current"),1),""))</x:f>
      </x:c>
      <x:c r="I104" s="38" t="str">
        <x:f>IF($A104="","",IFERROR(INDEX(FILTER('Result Review'!$J$5:$J$204,'Result Review'!$D$5:$D$204=$A104,'Result Review'!$R$5:$R$204="Approved Current"),1),""))</x:f>
      </x:c>
      <x:c r="J104" s="38" t="str">
        <x:f>IF($A104="","",IFERROR(INDEX(FILTER('Result Review'!$K$5:$K$204,'Result Review'!$D$5:$D$204=$A104,'Result Review'!$R$5:$R$204="Approved Current"),1),""))</x:f>
      </x:c>
      <x:c r="K104" s="38" t="str">
        <x:f>IF($A104="","",IFERROR(INDEX(FILTER('Result Review'!$Z$5:$Z$204,'Result Review'!$D$5:$D$204=$A104,'Result Review'!$R$5:$R$204="Approved Current"),1),""))</x:f>
      </x:c>
      <x:c r="L104" s="60" t="str">
        <x:f>IF($A104="","",IFERROR(INDEX(FILTER('Result Review'!$L$5:$L$204,'Result Review'!$D$5:$D$204=$A104,'Result Review'!$R$5:$R$204="Approved Current"),1),""))</x:f>
      </x:c>
      <x:c r="M104" s="38" t="str">
        <x:f>IF($A104="","",IFERROR(INDEX(FILTER('Result Review'!$B$5:$B$204,'Result Review'!$D$5:$D$204=$A104,'Result Review'!$R$5:$R$204="Approved Current"),1),""))</x:f>
      </x:c>
      <x:c r="N104" s="38" t="str">
        <x:f>IF($A104="","","Approved Current")</x:f>
      </x:c>
      <x:c r="O104" s="49" t="str">
        <x:f>IF($A104="","","Derived from Result Review row "&amp;M104)</x:f>
      </x:c>
    </x:row>
    <x:row r="105" ht="15" hidden="0" customHeight="1">
      <x:c r="A105" s="48" t="str">
        <x:f>IF(Fixtures!A105="","",IF(COUNTIFS('Result Review'!$D$5:$D$204,Fixtures!A105,'Result Review'!$R$5:$R$204,"Approved Current")=1,Fixtures!A105,""))</x:f>
      </x:c>
      <x:c r="B105" s="38" t="str">
        <x:f>IF($A105="","",XLOOKUP($A105,Fixtures!$A$5:$A$204,Fixtures!$B$5:$B$204,""))</x:f>
      </x:c>
      <x:c r="C105" s="38" t="str">
        <x:f>IF($A105="","",XLOOKUP($A105,Fixtures!$A$5:$A$204,Fixtures!$D$5:$D$204,""))</x:f>
      </x:c>
      <x:c r="D105" s="38" t="str">
        <x:f>IF($A105="","",XLOOKUP($A105,Fixtures!$A$5:$A$204,Fixtures!$E$5:$E$204,""))</x:f>
      </x:c>
      <x:c r="E105" s="38" t="str">
        <x:f>IF($A105="","",XLOOKUP($A105,Fixtures!$A$5:$A$204,Fixtures!$F$5:$F$204,""))</x:f>
      </x:c>
      <x:c r="F105" s="38" t="str">
        <x:f>IF($A105="","",XLOOKUP($A105,Fixtures!$A$5:$A$204,Fixtures!$G$5:$G$204,""))</x:f>
      </x:c>
      <x:c r="G105" s="38" t="str">
        <x:f>IF($A105="","",IFERROR(INDEX(FILTER('Result Review'!$X$5:$X$204,'Result Review'!$D$5:$D$204=$A105,'Result Review'!$R$5:$R$204="Approved Current"),1),""))</x:f>
      </x:c>
      <x:c r="H105" s="38" t="str">
        <x:f>IF($A105="","",IFERROR(INDEX(FILTER('Result Review'!$Y$5:$Y$204,'Result Review'!$D$5:$D$204=$A105,'Result Review'!$R$5:$R$204="Approved Current"),1),""))</x:f>
      </x:c>
      <x:c r="I105" s="38" t="str">
        <x:f>IF($A105="","",IFERROR(INDEX(FILTER('Result Review'!$J$5:$J$204,'Result Review'!$D$5:$D$204=$A105,'Result Review'!$R$5:$R$204="Approved Current"),1),""))</x:f>
      </x:c>
      <x:c r="J105" s="38" t="str">
        <x:f>IF($A105="","",IFERROR(INDEX(FILTER('Result Review'!$K$5:$K$204,'Result Review'!$D$5:$D$204=$A105,'Result Review'!$R$5:$R$204="Approved Current"),1),""))</x:f>
      </x:c>
      <x:c r="K105" s="38" t="str">
        <x:f>IF($A105="","",IFERROR(INDEX(FILTER('Result Review'!$Z$5:$Z$204,'Result Review'!$D$5:$D$204=$A105,'Result Review'!$R$5:$R$204="Approved Current"),1),""))</x:f>
      </x:c>
      <x:c r="L105" s="60" t="str">
        <x:f>IF($A105="","",IFERROR(INDEX(FILTER('Result Review'!$L$5:$L$204,'Result Review'!$D$5:$D$204=$A105,'Result Review'!$R$5:$R$204="Approved Current"),1),""))</x:f>
      </x:c>
      <x:c r="M105" s="38" t="str">
        <x:f>IF($A105="","",IFERROR(INDEX(FILTER('Result Review'!$B$5:$B$204,'Result Review'!$D$5:$D$204=$A105,'Result Review'!$R$5:$R$204="Approved Current"),1),""))</x:f>
      </x:c>
      <x:c r="N105" s="38" t="str">
        <x:f>IF($A105="","","Approved Current")</x:f>
      </x:c>
      <x:c r="O105" s="49" t="str">
        <x:f>IF($A105="","","Derived from Result Review row "&amp;M105)</x:f>
      </x:c>
    </x:row>
    <x:row r="106" ht="15" hidden="0" customHeight="1">
      <x:c r="A106" s="48" t="str">
        <x:f>IF(Fixtures!A106="","",IF(COUNTIFS('Result Review'!$D$5:$D$204,Fixtures!A106,'Result Review'!$R$5:$R$204,"Approved Current")=1,Fixtures!A106,""))</x:f>
      </x:c>
      <x:c r="B106" s="38" t="str">
        <x:f>IF($A106="","",XLOOKUP($A106,Fixtures!$A$5:$A$204,Fixtures!$B$5:$B$204,""))</x:f>
      </x:c>
      <x:c r="C106" s="38" t="str">
        <x:f>IF($A106="","",XLOOKUP($A106,Fixtures!$A$5:$A$204,Fixtures!$D$5:$D$204,""))</x:f>
      </x:c>
      <x:c r="D106" s="38" t="str">
        <x:f>IF($A106="","",XLOOKUP($A106,Fixtures!$A$5:$A$204,Fixtures!$E$5:$E$204,""))</x:f>
      </x:c>
      <x:c r="E106" s="38" t="str">
        <x:f>IF($A106="","",XLOOKUP($A106,Fixtures!$A$5:$A$204,Fixtures!$F$5:$F$204,""))</x:f>
      </x:c>
      <x:c r="F106" s="38" t="str">
        <x:f>IF($A106="","",XLOOKUP($A106,Fixtures!$A$5:$A$204,Fixtures!$G$5:$G$204,""))</x:f>
      </x:c>
      <x:c r="G106" s="38" t="str">
        <x:f>IF($A106="","",IFERROR(INDEX(FILTER('Result Review'!$X$5:$X$204,'Result Review'!$D$5:$D$204=$A106,'Result Review'!$R$5:$R$204="Approved Current"),1),""))</x:f>
      </x:c>
      <x:c r="H106" s="38" t="str">
        <x:f>IF($A106="","",IFERROR(INDEX(FILTER('Result Review'!$Y$5:$Y$204,'Result Review'!$D$5:$D$204=$A106,'Result Review'!$R$5:$R$204="Approved Current"),1),""))</x:f>
      </x:c>
      <x:c r="I106" s="38" t="str">
        <x:f>IF($A106="","",IFERROR(INDEX(FILTER('Result Review'!$J$5:$J$204,'Result Review'!$D$5:$D$204=$A106,'Result Review'!$R$5:$R$204="Approved Current"),1),""))</x:f>
      </x:c>
      <x:c r="J106" s="38" t="str">
        <x:f>IF($A106="","",IFERROR(INDEX(FILTER('Result Review'!$K$5:$K$204,'Result Review'!$D$5:$D$204=$A106,'Result Review'!$R$5:$R$204="Approved Current"),1),""))</x:f>
      </x:c>
      <x:c r="K106" s="38" t="str">
        <x:f>IF($A106="","",IFERROR(INDEX(FILTER('Result Review'!$Z$5:$Z$204,'Result Review'!$D$5:$D$204=$A106,'Result Review'!$R$5:$R$204="Approved Current"),1),""))</x:f>
      </x:c>
      <x:c r="L106" s="60" t="str">
        <x:f>IF($A106="","",IFERROR(INDEX(FILTER('Result Review'!$L$5:$L$204,'Result Review'!$D$5:$D$204=$A106,'Result Review'!$R$5:$R$204="Approved Current"),1),""))</x:f>
      </x:c>
      <x:c r="M106" s="38" t="str">
        <x:f>IF($A106="","",IFERROR(INDEX(FILTER('Result Review'!$B$5:$B$204,'Result Review'!$D$5:$D$204=$A106,'Result Review'!$R$5:$R$204="Approved Current"),1),""))</x:f>
      </x:c>
      <x:c r="N106" s="38" t="str">
        <x:f>IF($A106="","","Approved Current")</x:f>
      </x:c>
      <x:c r="O106" s="49" t="str">
        <x:f>IF($A106="","","Derived from Result Review row "&amp;M106)</x:f>
      </x:c>
    </x:row>
    <x:row r="107" ht="15" hidden="0" customHeight="1">
      <x:c r="A107" s="48" t="str">
        <x:f>IF(Fixtures!A107="","",IF(COUNTIFS('Result Review'!$D$5:$D$204,Fixtures!A107,'Result Review'!$R$5:$R$204,"Approved Current")=1,Fixtures!A107,""))</x:f>
      </x:c>
      <x:c r="B107" s="38" t="str">
        <x:f>IF($A107="","",XLOOKUP($A107,Fixtures!$A$5:$A$204,Fixtures!$B$5:$B$204,""))</x:f>
      </x:c>
      <x:c r="C107" s="38" t="str">
        <x:f>IF($A107="","",XLOOKUP($A107,Fixtures!$A$5:$A$204,Fixtures!$D$5:$D$204,""))</x:f>
      </x:c>
      <x:c r="D107" s="38" t="str">
        <x:f>IF($A107="","",XLOOKUP($A107,Fixtures!$A$5:$A$204,Fixtures!$E$5:$E$204,""))</x:f>
      </x:c>
      <x:c r="E107" s="38" t="str">
        <x:f>IF($A107="","",XLOOKUP($A107,Fixtures!$A$5:$A$204,Fixtures!$F$5:$F$204,""))</x:f>
      </x:c>
      <x:c r="F107" s="38" t="str">
        <x:f>IF($A107="","",XLOOKUP($A107,Fixtures!$A$5:$A$204,Fixtures!$G$5:$G$204,""))</x:f>
      </x:c>
      <x:c r="G107" s="38" t="str">
        <x:f>IF($A107="","",IFERROR(INDEX(FILTER('Result Review'!$X$5:$X$204,'Result Review'!$D$5:$D$204=$A107,'Result Review'!$R$5:$R$204="Approved Current"),1),""))</x:f>
      </x:c>
      <x:c r="H107" s="38" t="str">
        <x:f>IF($A107="","",IFERROR(INDEX(FILTER('Result Review'!$Y$5:$Y$204,'Result Review'!$D$5:$D$204=$A107,'Result Review'!$R$5:$R$204="Approved Current"),1),""))</x:f>
      </x:c>
      <x:c r="I107" s="38" t="str">
        <x:f>IF($A107="","",IFERROR(INDEX(FILTER('Result Review'!$J$5:$J$204,'Result Review'!$D$5:$D$204=$A107,'Result Review'!$R$5:$R$204="Approved Current"),1),""))</x:f>
      </x:c>
      <x:c r="J107" s="38" t="str">
        <x:f>IF($A107="","",IFERROR(INDEX(FILTER('Result Review'!$K$5:$K$204,'Result Review'!$D$5:$D$204=$A107,'Result Review'!$R$5:$R$204="Approved Current"),1),""))</x:f>
      </x:c>
      <x:c r="K107" s="38" t="str">
        <x:f>IF($A107="","",IFERROR(INDEX(FILTER('Result Review'!$Z$5:$Z$204,'Result Review'!$D$5:$D$204=$A107,'Result Review'!$R$5:$R$204="Approved Current"),1),""))</x:f>
      </x:c>
      <x:c r="L107" s="60" t="str">
        <x:f>IF($A107="","",IFERROR(INDEX(FILTER('Result Review'!$L$5:$L$204,'Result Review'!$D$5:$D$204=$A107,'Result Review'!$R$5:$R$204="Approved Current"),1),""))</x:f>
      </x:c>
      <x:c r="M107" s="38" t="str">
        <x:f>IF($A107="","",IFERROR(INDEX(FILTER('Result Review'!$B$5:$B$204,'Result Review'!$D$5:$D$204=$A107,'Result Review'!$R$5:$R$204="Approved Current"),1),""))</x:f>
      </x:c>
      <x:c r="N107" s="38" t="str">
        <x:f>IF($A107="","","Approved Current")</x:f>
      </x:c>
      <x:c r="O107" s="49" t="str">
        <x:f>IF($A107="","","Derived from Result Review row "&amp;M107)</x:f>
      </x:c>
    </x:row>
    <x:row r="108" ht="15" hidden="0" customHeight="1">
      <x:c r="A108" s="48" t="str">
        <x:f>IF(Fixtures!A108="","",IF(COUNTIFS('Result Review'!$D$5:$D$204,Fixtures!A108,'Result Review'!$R$5:$R$204,"Approved Current")=1,Fixtures!A108,""))</x:f>
      </x:c>
      <x:c r="B108" s="38" t="str">
        <x:f>IF($A108="","",XLOOKUP($A108,Fixtures!$A$5:$A$204,Fixtures!$B$5:$B$204,""))</x:f>
      </x:c>
      <x:c r="C108" s="38" t="str">
        <x:f>IF($A108="","",XLOOKUP($A108,Fixtures!$A$5:$A$204,Fixtures!$D$5:$D$204,""))</x:f>
      </x:c>
      <x:c r="D108" s="38" t="str">
        <x:f>IF($A108="","",XLOOKUP($A108,Fixtures!$A$5:$A$204,Fixtures!$E$5:$E$204,""))</x:f>
      </x:c>
      <x:c r="E108" s="38" t="str">
        <x:f>IF($A108="","",XLOOKUP($A108,Fixtures!$A$5:$A$204,Fixtures!$F$5:$F$204,""))</x:f>
      </x:c>
      <x:c r="F108" s="38" t="str">
        <x:f>IF($A108="","",XLOOKUP($A108,Fixtures!$A$5:$A$204,Fixtures!$G$5:$G$204,""))</x:f>
      </x:c>
      <x:c r="G108" s="38" t="str">
        <x:f>IF($A108="","",IFERROR(INDEX(FILTER('Result Review'!$X$5:$X$204,'Result Review'!$D$5:$D$204=$A108,'Result Review'!$R$5:$R$204="Approved Current"),1),""))</x:f>
      </x:c>
      <x:c r="H108" s="38" t="str">
        <x:f>IF($A108="","",IFERROR(INDEX(FILTER('Result Review'!$Y$5:$Y$204,'Result Review'!$D$5:$D$204=$A108,'Result Review'!$R$5:$R$204="Approved Current"),1),""))</x:f>
      </x:c>
      <x:c r="I108" s="38" t="str">
        <x:f>IF($A108="","",IFERROR(INDEX(FILTER('Result Review'!$J$5:$J$204,'Result Review'!$D$5:$D$204=$A108,'Result Review'!$R$5:$R$204="Approved Current"),1),""))</x:f>
      </x:c>
      <x:c r="J108" s="38" t="str">
        <x:f>IF($A108="","",IFERROR(INDEX(FILTER('Result Review'!$K$5:$K$204,'Result Review'!$D$5:$D$204=$A108,'Result Review'!$R$5:$R$204="Approved Current"),1),""))</x:f>
      </x:c>
      <x:c r="K108" s="38" t="str">
        <x:f>IF($A108="","",IFERROR(INDEX(FILTER('Result Review'!$Z$5:$Z$204,'Result Review'!$D$5:$D$204=$A108,'Result Review'!$R$5:$R$204="Approved Current"),1),""))</x:f>
      </x:c>
      <x:c r="L108" s="60" t="str">
        <x:f>IF($A108="","",IFERROR(INDEX(FILTER('Result Review'!$L$5:$L$204,'Result Review'!$D$5:$D$204=$A108,'Result Review'!$R$5:$R$204="Approved Current"),1),""))</x:f>
      </x:c>
      <x:c r="M108" s="38" t="str">
        <x:f>IF($A108="","",IFERROR(INDEX(FILTER('Result Review'!$B$5:$B$204,'Result Review'!$D$5:$D$204=$A108,'Result Review'!$R$5:$R$204="Approved Current"),1),""))</x:f>
      </x:c>
      <x:c r="N108" s="38" t="str">
        <x:f>IF($A108="","","Approved Current")</x:f>
      </x:c>
      <x:c r="O108" s="49" t="str">
        <x:f>IF($A108="","","Derived from Result Review row "&amp;M108)</x:f>
      </x:c>
    </x:row>
    <x:row r="109" ht="15" hidden="0" customHeight="1">
      <x:c r="A109" s="48" t="str">
        <x:f>IF(Fixtures!A109="","",IF(COUNTIFS('Result Review'!$D$5:$D$204,Fixtures!A109,'Result Review'!$R$5:$R$204,"Approved Current")=1,Fixtures!A109,""))</x:f>
      </x:c>
      <x:c r="B109" s="38" t="str">
        <x:f>IF($A109="","",XLOOKUP($A109,Fixtures!$A$5:$A$204,Fixtures!$B$5:$B$204,""))</x:f>
      </x:c>
      <x:c r="C109" s="38" t="str">
        <x:f>IF($A109="","",XLOOKUP($A109,Fixtures!$A$5:$A$204,Fixtures!$D$5:$D$204,""))</x:f>
      </x:c>
      <x:c r="D109" s="38" t="str">
        <x:f>IF($A109="","",XLOOKUP($A109,Fixtures!$A$5:$A$204,Fixtures!$E$5:$E$204,""))</x:f>
      </x:c>
      <x:c r="E109" s="38" t="str">
        <x:f>IF($A109="","",XLOOKUP($A109,Fixtures!$A$5:$A$204,Fixtures!$F$5:$F$204,""))</x:f>
      </x:c>
      <x:c r="F109" s="38" t="str">
        <x:f>IF($A109="","",XLOOKUP($A109,Fixtures!$A$5:$A$204,Fixtures!$G$5:$G$204,""))</x:f>
      </x:c>
      <x:c r="G109" s="38" t="str">
        <x:f>IF($A109="","",IFERROR(INDEX(FILTER('Result Review'!$X$5:$X$204,'Result Review'!$D$5:$D$204=$A109,'Result Review'!$R$5:$R$204="Approved Current"),1),""))</x:f>
      </x:c>
      <x:c r="H109" s="38" t="str">
        <x:f>IF($A109="","",IFERROR(INDEX(FILTER('Result Review'!$Y$5:$Y$204,'Result Review'!$D$5:$D$204=$A109,'Result Review'!$R$5:$R$204="Approved Current"),1),""))</x:f>
      </x:c>
      <x:c r="I109" s="38" t="str">
        <x:f>IF($A109="","",IFERROR(INDEX(FILTER('Result Review'!$J$5:$J$204,'Result Review'!$D$5:$D$204=$A109,'Result Review'!$R$5:$R$204="Approved Current"),1),""))</x:f>
      </x:c>
      <x:c r="J109" s="38" t="str">
        <x:f>IF($A109="","",IFERROR(INDEX(FILTER('Result Review'!$K$5:$K$204,'Result Review'!$D$5:$D$204=$A109,'Result Review'!$R$5:$R$204="Approved Current"),1),""))</x:f>
      </x:c>
      <x:c r="K109" s="38" t="str">
        <x:f>IF($A109="","",IFERROR(INDEX(FILTER('Result Review'!$Z$5:$Z$204,'Result Review'!$D$5:$D$204=$A109,'Result Review'!$R$5:$R$204="Approved Current"),1),""))</x:f>
      </x:c>
      <x:c r="L109" s="60" t="str">
        <x:f>IF($A109="","",IFERROR(INDEX(FILTER('Result Review'!$L$5:$L$204,'Result Review'!$D$5:$D$204=$A109,'Result Review'!$R$5:$R$204="Approved Current"),1),""))</x:f>
      </x:c>
      <x:c r="M109" s="38" t="str">
        <x:f>IF($A109="","",IFERROR(INDEX(FILTER('Result Review'!$B$5:$B$204,'Result Review'!$D$5:$D$204=$A109,'Result Review'!$R$5:$R$204="Approved Current"),1),""))</x:f>
      </x:c>
      <x:c r="N109" s="38" t="str">
        <x:f>IF($A109="","","Approved Current")</x:f>
      </x:c>
      <x:c r="O109" s="49" t="str">
        <x:f>IF($A109="","","Derived from Result Review row "&amp;M109)</x:f>
      </x:c>
    </x:row>
    <x:row r="110" ht="15" hidden="0" customHeight="1">
      <x:c r="A110" s="48" t="str">
        <x:f>IF(Fixtures!A110="","",IF(COUNTIFS('Result Review'!$D$5:$D$204,Fixtures!A110,'Result Review'!$R$5:$R$204,"Approved Current")=1,Fixtures!A110,""))</x:f>
      </x:c>
      <x:c r="B110" s="38" t="str">
        <x:f>IF($A110="","",XLOOKUP($A110,Fixtures!$A$5:$A$204,Fixtures!$B$5:$B$204,""))</x:f>
      </x:c>
      <x:c r="C110" s="38" t="str">
        <x:f>IF($A110="","",XLOOKUP($A110,Fixtures!$A$5:$A$204,Fixtures!$D$5:$D$204,""))</x:f>
      </x:c>
      <x:c r="D110" s="38" t="str">
        <x:f>IF($A110="","",XLOOKUP($A110,Fixtures!$A$5:$A$204,Fixtures!$E$5:$E$204,""))</x:f>
      </x:c>
      <x:c r="E110" s="38" t="str">
        <x:f>IF($A110="","",XLOOKUP($A110,Fixtures!$A$5:$A$204,Fixtures!$F$5:$F$204,""))</x:f>
      </x:c>
      <x:c r="F110" s="38" t="str">
        <x:f>IF($A110="","",XLOOKUP($A110,Fixtures!$A$5:$A$204,Fixtures!$G$5:$G$204,""))</x:f>
      </x:c>
      <x:c r="G110" s="38" t="str">
        <x:f>IF($A110="","",IFERROR(INDEX(FILTER('Result Review'!$X$5:$X$204,'Result Review'!$D$5:$D$204=$A110,'Result Review'!$R$5:$R$204="Approved Current"),1),""))</x:f>
      </x:c>
      <x:c r="H110" s="38" t="str">
        <x:f>IF($A110="","",IFERROR(INDEX(FILTER('Result Review'!$Y$5:$Y$204,'Result Review'!$D$5:$D$204=$A110,'Result Review'!$R$5:$R$204="Approved Current"),1),""))</x:f>
      </x:c>
      <x:c r="I110" s="38" t="str">
        <x:f>IF($A110="","",IFERROR(INDEX(FILTER('Result Review'!$J$5:$J$204,'Result Review'!$D$5:$D$204=$A110,'Result Review'!$R$5:$R$204="Approved Current"),1),""))</x:f>
      </x:c>
      <x:c r="J110" s="38" t="str">
        <x:f>IF($A110="","",IFERROR(INDEX(FILTER('Result Review'!$K$5:$K$204,'Result Review'!$D$5:$D$204=$A110,'Result Review'!$R$5:$R$204="Approved Current"),1),""))</x:f>
      </x:c>
      <x:c r="K110" s="38" t="str">
        <x:f>IF($A110="","",IFERROR(INDEX(FILTER('Result Review'!$Z$5:$Z$204,'Result Review'!$D$5:$D$204=$A110,'Result Review'!$R$5:$R$204="Approved Current"),1),""))</x:f>
      </x:c>
      <x:c r="L110" s="60" t="str">
        <x:f>IF($A110="","",IFERROR(INDEX(FILTER('Result Review'!$L$5:$L$204,'Result Review'!$D$5:$D$204=$A110,'Result Review'!$R$5:$R$204="Approved Current"),1),""))</x:f>
      </x:c>
      <x:c r="M110" s="38" t="str">
        <x:f>IF($A110="","",IFERROR(INDEX(FILTER('Result Review'!$B$5:$B$204,'Result Review'!$D$5:$D$204=$A110,'Result Review'!$R$5:$R$204="Approved Current"),1),""))</x:f>
      </x:c>
      <x:c r="N110" s="38" t="str">
        <x:f>IF($A110="","","Approved Current")</x:f>
      </x:c>
      <x:c r="O110" s="49" t="str">
        <x:f>IF($A110="","","Derived from Result Review row "&amp;M110)</x:f>
      </x:c>
    </x:row>
    <x:row r="111" ht="15" hidden="0" customHeight="1">
      <x:c r="A111" s="48" t="str">
        <x:f>IF(Fixtures!A111="","",IF(COUNTIFS('Result Review'!$D$5:$D$204,Fixtures!A111,'Result Review'!$R$5:$R$204,"Approved Current")=1,Fixtures!A111,""))</x:f>
      </x:c>
      <x:c r="B111" s="38" t="str">
        <x:f>IF($A111="","",XLOOKUP($A111,Fixtures!$A$5:$A$204,Fixtures!$B$5:$B$204,""))</x:f>
      </x:c>
      <x:c r="C111" s="38" t="str">
        <x:f>IF($A111="","",XLOOKUP($A111,Fixtures!$A$5:$A$204,Fixtures!$D$5:$D$204,""))</x:f>
      </x:c>
      <x:c r="D111" s="38" t="str">
        <x:f>IF($A111="","",XLOOKUP($A111,Fixtures!$A$5:$A$204,Fixtures!$E$5:$E$204,""))</x:f>
      </x:c>
      <x:c r="E111" s="38" t="str">
        <x:f>IF($A111="","",XLOOKUP($A111,Fixtures!$A$5:$A$204,Fixtures!$F$5:$F$204,""))</x:f>
      </x:c>
      <x:c r="F111" s="38" t="str">
        <x:f>IF($A111="","",XLOOKUP($A111,Fixtures!$A$5:$A$204,Fixtures!$G$5:$G$204,""))</x:f>
      </x:c>
      <x:c r="G111" s="38" t="str">
        <x:f>IF($A111="","",IFERROR(INDEX(FILTER('Result Review'!$X$5:$X$204,'Result Review'!$D$5:$D$204=$A111,'Result Review'!$R$5:$R$204="Approved Current"),1),""))</x:f>
      </x:c>
      <x:c r="H111" s="38" t="str">
        <x:f>IF($A111="","",IFERROR(INDEX(FILTER('Result Review'!$Y$5:$Y$204,'Result Review'!$D$5:$D$204=$A111,'Result Review'!$R$5:$R$204="Approved Current"),1),""))</x:f>
      </x:c>
      <x:c r="I111" s="38" t="str">
        <x:f>IF($A111="","",IFERROR(INDEX(FILTER('Result Review'!$J$5:$J$204,'Result Review'!$D$5:$D$204=$A111,'Result Review'!$R$5:$R$204="Approved Current"),1),""))</x:f>
      </x:c>
      <x:c r="J111" s="38" t="str">
        <x:f>IF($A111="","",IFERROR(INDEX(FILTER('Result Review'!$K$5:$K$204,'Result Review'!$D$5:$D$204=$A111,'Result Review'!$R$5:$R$204="Approved Current"),1),""))</x:f>
      </x:c>
      <x:c r="K111" s="38" t="str">
        <x:f>IF($A111="","",IFERROR(INDEX(FILTER('Result Review'!$Z$5:$Z$204,'Result Review'!$D$5:$D$204=$A111,'Result Review'!$R$5:$R$204="Approved Current"),1),""))</x:f>
      </x:c>
      <x:c r="L111" s="60" t="str">
        <x:f>IF($A111="","",IFERROR(INDEX(FILTER('Result Review'!$L$5:$L$204,'Result Review'!$D$5:$D$204=$A111,'Result Review'!$R$5:$R$204="Approved Current"),1),""))</x:f>
      </x:c>
      <x:c r="M111" s="38" t="str">
        <x:f>IF($A111="","",IFERROR(INDEX(FILTER('Result Review'!$B$5:$B$204,'Result Review'!$D$5:$D$204=$A111,'Result Review'!$R$5:$R$204="Approved Current"),1),""))</x:f>
      </x:c>
      <x:c r="N111" s="38" t="str">
        <x:f>IF($A111="","","Approved Current")</x:f>
      </x:c>
      <x:c r="O111" s="49" t="str">
        <x:f>IF($A111="","","Derived from Result Review row "&amp;M111)</x:f>
      </x:c>
    </x:row>
    <x:row r="112" ht="15" hidden="0" customHeight="1">
      <x:c r="A112" s="48" t="str">
        <x:f>IF(Fixtures!A112="","",IF(COUNTIFS('Result Review'!$D$5:$D$204,Fixtures!A112,'Result Review'!$R$5:$R$204,"Approved Current")=1,Fixtures!A112,""))</x:f>
      </x:c>
      <x:c r="B112" s="38" t="str">
        <x:f>IF($A112="","",XLOOKUP($A112,Fixtures!$A$5:$A$204,Fixtures!$B$5:$B$204,""))</x:f>
      </x:c>
      <x:c r="C112" s="38" t="str">
        <x:f>IF($A112="","",XLOOKUP($A112,Fixtures!$A$5:$A$204,Fixtures!$D$5:$D$204,""))</x:f>
      </x:c>
      <x:c r="D112" s="38" t="str">
        <x:f>IF($A112="","",XLOOKUP($A112,Fixtures!$A$5:$A$204,Fixtures!$E$5:$E$204,""))</x:f>
      </x:c>
      <x:c r="E112" s="38" t="str">
        <x:f>IF($A112="","",XLOOKUP($A112,Fixtures!$A$5:$A$204,Fixtures!$F$5:$F$204,""))</x:f>
      </x:c>
      <x:c r="F112" s="38" t="str">
        <x:f>IF($A112="","",XLOOKUP($A112,Fixtures!$A$5:$A$204,Fixtures!$G$5:$G$204,""))</x:f>
      </x:c>
      <x:c r="G112" s="38" t="str">
        <x:f>IF($A112="","",IFERROR(INDEX(FILTER('Result Review'!$X$5:$X$204,'Result Review'!$D$5:$D$204=$A112,'Result Review'!$R$5:$R$204="Approved Current"),1),""))</x:f>
      </x:c>
      <x:c r="H112" s="38" t="str">
        <x:f>IF($A112="","",IFERROR(INDEX(FILTER('Result Review'!$Y$5:$Y$204,'Result Review'!$D$5:$D$204=$A112,'Result Review'!$R$5:$R$204="Approved Current"),1),""))</x:f>
      </x:c>
      <x:c r="I112" s="38" t="str">
        <x:f>IF($A112="","",IFERROR(INDEX(FILTER('Result Review'!$J$5:$J$204,'Result Review'!$D$5:$D$204=$A112,'Result Review'!$R$5:$R$204="Approved Current"),1),""))</x:f>
      </x:c>
      <x:c r="J112" s="38" t="str">
        <x:f>IF($A112="","",IFERROR(INDEX(FILTER('Result Review'!$K$5:$K$204,'Result Review'!$D$5:$D$204=$A112,'Result Review'!$R$5:$R$204="Approved Current"),1),""))</x:f>
      </x:c>
      <x:c r="K112" s="38" t="str">
        <x:f>IF($A112="","",IFERROR(INDEX(FILTER('Result Review'!$Z$5:$Z$204,'Result Review'!$D$5:$D$204=$A112,'Result Review'!$R$5:$R$204="Approved Current"),1),""))</x:f>
      </x:c>
      <x:c r="L112" s="60" t="str">
        <x:f>IF($A112="","",IFERROR(INDEX(FILTER('Result Review'!$L$5:$L$204,'Result Review'!$D$5:$D$204=$A112,'Result Review'!$R$5:$R$204="Approved Current"),1),""))</x:f>
      </x:c>
      <x:c r="M112" s="38" t="str">
        <x:f>IF($A112="","",IFERROR(INDEX(FILTER('Result Review'!$B$5:$B$204,'Result Review'!$D$5:$D$204=$A112,'Result Review'!$R$5:$R$204="Approved Current"),1),""))</x:f>
      </x:c>
      <x:c r="N112" s="38" t="str">
        <x:f>IF($A112="","","Approved Current")</x:f>
      </x:c>
      <x:c r="O112" s="49" t="str">
        <x:f>IF($A112="","","Derived from Result Review row "&amp;M112)</x:f>
      </x:c>
    </x:row>
    <x:row r="113" ht="15" hidden="0" customHeight="1">
      <x:c r="A113" s="48" t="str">
        <x:f>IF(Fixtures!A113="","",IF(COUNTIFS('Result Review'!$D$5:$D$204,Fixtures!A113,'Result Review'!$R$5:$R$204,"Approved Current")=1,Fixtures!A113,""))</x:f>
      </x:c>
      <x:c r="B113" s="38" t="str">
        <x:f>IF($A113="","",XLOOKUP($A113,Fixtures!$A$5:$A$204,Fixtures!$B$5:$B$204,""))</x:f>
      </x:c>
      <x:c r="C113" s="38" t="str">
        <x:f>IF($A113="","",XLOOKUP($A113,Fixtures!$A$5:$A$204,Fixtures!$D$5:$D$204,""))</x:f>
      </x:c>
      <x:c r="D113" s="38" t="str">
        <x:f>IF($A113="","",XLOOKUP($A113,Fixtures!$A$5:$A$204,Fixtures!$E$5:$E$204,""))</x:f>
      </x:c>
      <x:c r="E113" s="38" t="str">
        <x:f>IF($A113="","",XLOOKUP($A113,Fixtures!$A$5:$A$204,Fixtures!$F$5:$F$204,""))</x:f>
      </x:c>
      <x:c r="F113" s="38" t="str">
        <x:f>IF($A113="","",XLOOKUP($A113,Fixtures!$A$5:$A$204,Fixtures!$G$5:$G$204,""))</x:f>
      </x:c>
      <x:c r="G113" s="38" t="str">
        <x:f>IF($A113="","",IFERROR(INDEX(FILTER('Result Review'!$X$5:$X$204,'Result Review'!$D$5:$D$204=$A113,'Result Review'!$R$5:$R$204="Approved Current"),1),""))</x:f>
      </x:c>
      <x:c r="H113" s="38" t="str">
        <x:f>IF($A113="","",IFERROR(INDEX(FILTER('Result Review'!$Y$5:$Y$204,'Result Review'!$D$5:$D$204=$A113,'Result Review'!$R$5:$R$204="Approved Current"),1),""))</x:f>
      </x:c>
      <x:c r="I113" s="38" t="str">
        <x:f>IF($A113="","",IFERROR(INDEX(FILTER('Result Review'!$J$5:$J$204,'Result Review'!$D$5:$D$204=$A113,'Result Review'!$R$5:$R$204="Approved Current"),1),""))</x:f>
      </x:c>
      <x:c r="J113" s="38" t="str">
        <x:f>IF($A113="","",IFERROR(INDEX(FILTER('Result Review'!$K$5:$K$204,'Result Review'!$D$5:$D$204=$A113,'Result Review'!$R$5:$R$204="Approved Current"),1),""))</x:f>
      </x:c>
      <x:c r="K113" s="38" t="str">
        <x:f>IF($A113="","",IFERROR(INDEX(FILTER('Result Review'!$Z$5:$Z$204,'Result Review'!$D$5:$D$204=$A113,'Result Review'!$R$5:$R$204="Approved Current"),1),""))</x:f>
      </x:c>
      <x:c r="L113" s="60" t="str">
        <x:f>IF($A113="","",IFERROR(INDEX(FILTER('Result Review'!$L$5:$L$204,'Result Review'!$D$5:$D$204=$A113,'Result Review'!$R$5:$R$204="Approved Current"),1),""))</x:f>
      </x:c>
      <x:c r="M113" s="38" t="str">
        <x:f>IF($A113="","",IFERROR(INDEX(FILTER('Result Review'!$B$5:$B$204,'Result Review'!$D$5:$D$204=$A113,'Result Review'!$R$5:$R$204="Approved Current"),1),""))</x:f>
      </x:c>
      <x:c r="N113" s="38" t="str">
        <x:f>IF($A113="","","Approved Current")</x:f>
      </x:c>
      <x:c r="O113" s="49" t="str">
        <x:f>IF($A113="","","Derived from Result Review row "&amp;M113)</x:f>
      </x:c>
    </x:row>
    <x:row r="114" ht="15" hidden="0" customHeight="1">
      <x:c r="A114" s="48" t="str">
        <x:f>IF(Fixtures!A114="","",IF(COUNTIFS('Result Review'!$D$5:$D$204,Fixtures!A114,'Result Review'!$R$5:$R$204,"Approved Current")=1,Fixtures!A114,""))</x:f>
      </x:c>
      <x:c r="B114" s="38" t="str">
        <x:f>IF($A114="","",XLOOKUP($A114,Fixtures!$A$5:$A$204,Fixtures!$B$5:$B$204,""))</x:f>
      </x:c>
      <x:c r="C114" s="38" t="str">
        <x:f>IF($A114="","",XLOOKUP($A114,Fixtures!$A$5:$A$204,Fixtures!$D$5:$D$204,""))</x:f>
      </x:c>
      <x:c r="D114" s="38" t="str">
        <x:f>IF($A114="","",XLOOKUP($A114,Fixtures!$A$5:$A$204,Fixtures!$E$5:$E$204,""))</x:f>
      </x:c>
      <x:c r="E114" s="38" t="str">
        <x:f>IF($A114="","",XLOOKUP($A114,Fixtures!$A$5:$A$204,Fixtures!$F$5:$F$204,""))</x:f>
      </x:c>
      <x:c r="F114" s="38" t="str">
        <x:f>IF($A114="","",XLOOKUP($A114,Fixtures!$A$5:$A$204,Fixtures!$G$5:$G$204,""))</x:f>
      </x:c>
      <x:c r="G114" s="38" t="str">
        <x:f>IF($A114="","",IFERROR(INDEX(FILTER('Result Review'!$X$5:$X$204,'Result Review'!$D$5:$D$204=$A114,'Result Review'!$R$5:$R$204="Approved Current"),1),""))</x:f>
      </x:c>
      <x:c r="H114" s="38" t="str">
        <x:f>IF($A114="","",IFERROR(INDEX(FILTER('Result Review'!$Y$5:$Y$204,'Result Review'!$D$5:$D$204=$A114,'Result Review'!$R$5:$R$204="Approved Current"),1),""))</x:f>
      </x:c>
      <x:c r="I114" s="38" t="str">
        <x:f>IF($A114="","",IFERROR(INDEX(FILTER('Result Review'!$J$5:$J$204,'Result Review'!$D$5:$D$204=$A114,'Result Review'!$R$5:$R$204="Approved Current"),1),""))</x:f>
      </x:c>
      <x:c r="J114" s="38" t="str">
        <x:f>IF($A114="","",IFERROR(INDEX(FILTER('Result Review'!$K$5:$K$204,'Result Review'!$D$5:$D$204=$A114,'Result Review'!$R$5:$R$204="Approved Current"),1),""))</x:f>
      </x:c>
      <x:c r="K114" s="38" t="str">
        <x:f>IF($A114="","",IFERROR(INDEX(FILTER('Result Review'!$Z$5:$Z$204,'Result Review'!$D$5:$D$204=$A114,'Result Review'!$R$5:$R$204="Approved Current"),1),""))</x:f>
      </x:c>
      <x:c r="L114" s="60" t="str">
        <x:f>IF($A114="","",IFERROR(INDEX(FILTER('Result Review'!$L$5:$L$204,'Result Review'!$D$5:$D$204=$A114,'Result Review'!$R$5:$R$204="Approved Current"),1),""))</x:f>
      </x:c>
      <x:c r="M114" s="38" t="str">
        <x:f>IF($A114="","",IFERROR(INDEX(FILTER('Result Review'!$B$5:$B$204,'Result Review'!$D$5:$D$204=$A114,'Result Review'!$R$5:$R$204="Approved Current"),1),""))</x:f>
      </x:c>
      <x:c r="N114" s="38" t="str">
        <x:f>IF($A114="","","Approved Current")</x:f>
      </x:c>
      <x:c r="O114" s="49" t="str">
        <x:f>IF($A114="","","Derived from Result Review row "&amp;M114)</x:f>
      </x:c>
    </x:row>
    <x:row r="115" ht="15" hidden="0" customHeight="1">
      <x:c r="A115" s="48" t="str">
        <x:f>IF(Fixtures!A115="","",IF(COUNTIFS('Result Review'!$D$5:$D$204,Fixtures!A115,'Result Review'!$R$5:$R$204,"Approved Current")=1,Fixtures!A115,""))</x:f>
      </x:c>
      <x:c r="B115" s="38" t="str">
        <x:f>IF($A115="","",XLOOKUP($A115,Fixtures!$A$5:$A$204,Fixtures!$B$5:$B$204,""))</x:f>
      </x:c>
      <x:c r="C115" s="38" t="str">
        <x:f>IF($A115="","",XLOOKUP($A115,Fixtures!$A$5:$A$204,Fixtures!$D$5:$D$204,""))</x:f>
      </x:c>
      <x:c r="D115" s="38" t="str">
        <x:f>IF($A115="","",XLOOKUP($A115,Fixtures!$A$5:$A$204,Fixtures!$E$5:$E$204,""))</x:f>
      </x:c>
      <x:c r="E115" s="38" t="str">
        <x:f>IF($A115="","",XLOOKUP($A115,Fixtures!$A$5:$A$204,Fixtures!$F$5:$F$204,""))</x:f>
      </x:c>
      <x:c r="F115" s="38" t="str">
        <x:f>IF($A115="","",XLOOKUP($A115,Fixtures!$A$5:$A$204,Fixtures!$G$5:$G$204,""))</x:f>
      </x:c>
      <x:c r="G115" s="38" t="str">
        <x:f>IF($A115="","",IFERROR(INDEX(FILTER('Result Review'!$X$5:$X$204,'Result Review'!$D$5:$D$204=$A115,'Result Review'!$R$5:$R$204="Approved Current"),1),""))</x:f>
      </x:c>
      <x:c r="H115" s="38" t="str">
        <x:f>IF($A115="","",IFERROR(INDEX(FILTER('Result Review'!$Y$5:$Y$204,'Result Review'!$D$5:$D$204=$A115,'Result Review'!$R$5:$R$204="Approved Current"),1),""))</x:f>
      </x:c>
      <x:c r="I115" s="38" t="str">
        <x:f>IF($A115="","",IFERROR(INDEX(FILTER('Result Review'!$J$5:$J$204,'Result Review'!$D$5:$D$204=$A115,'Result Review'!$R$5:$R$204="Approved Current"),1),""))</x:f>
      </x:c>
      <x:c r="J115" s="38" t="str">
        <x:f>IF($A115="","",IFERROR(INDEX(FILTER('Result Review'!$K$5:$K$204,'Result Review'!$D$5:$D$204=$A115,'Result Review'!$R$5:$R$204="Approved Current"),1),""))</x:f>
      </x:c>
      <x:c r="K115" s="38" t="str">
        <x:f>IF($A115="","",IFERROR(INDEX(FILTER('Result Review'!$Z$5:$Z$204,'Result Review'!$D$5:$D$204=$A115,'Result Review'!$R$5:$R$204="Approved Current"),1),""))</x:f>
      </x:c>
      <x:c r="L115" s="60" t="str">
        <x:f>IF($A115="","",IFERROR(INDEX(FILTER('Result Review'!$L$5:$L$204,'Result Review'!$D$5:$D$204=$A115,'Result Review'!$R$5:$R$204="Approved Current"),1),""))</x:f>
      </x:c>
      <x:c r="M115" s="38" t="str">
        <x:f>IF($A115="","",IFERROR(INDEX(FILTER('Result Review'!$B$5:$B$204,'Result Review'!$D$5:$D$204=$A115,'Result Review'!$R$5:$R$204="Approved Current"),1),""))</x:f>
      </x:c>
      <x:c r="N115" s="38" t="str">
        <x:f>IF($A115="","","Approved Current")</x:f>
      </x:c>
      <x:c r="O115" s="49" t="str">
        <x:f>IF($A115="","","Derived from Result Review row "&amp;M115)</x:f>
      </x:c>
    </x:row>
    <x:row r="116" ht="15" hidden="0" customHeight="1">
      <x:c r="A116" s="48" t="str">
        <x:f>IF(Fixtures!A116="","",IF(COUNTIFS('Result Review'!$D$5:$D$204,Fixtures!A116,'Result Review'!$R$5:$R$204,"Approved Current")=1,Fixtures!A116,""))</x:f>
      </x:c>
      <x:c r="B116" s="38" t="str">
        <x:f>IF($A116="","",XLOOKUP($A116,Fixtures!$A$5:$A$204,Fixtures!$B$5:$B$204,""))</x:f>
      </x:c>
      <x:c r="C116" s="38" t="str">
        <x:f>IF($A116="","",XLOOKUP($A116,Fixtures!$A$5:$A$204,Fixtures!$D$5:$D$204,""))</x:f>
      </x:c>
      <x:c r="D116" s="38" t="str">
        <x:f>IF($A116="","",XLOOKUP($A116,Fixtures!$A$5:$A$204,Fixtures!$E$5:$E$204,""))</x:f>
      </x:c>
      <x:c r="E116" s="38" t="str">
        <x:f>IF($A116="","",XLOOKUP($A116,Fixtures!$A$5:$A$204,Fixtures!$F$5:$F$204,""))</x:f>
      </x:c>
      <x:c r="F116" s="38" t="str">
        <x:f>IF($A116="","",XLOOKUP($A116,Fixtures!$A$5:$A$204,Fixtures!$G$5:$G$204,""))</x:f>
      </x:c>
      <x:c r="G116" s="38" t="str">
        <x:f>IF($A116="","",IFERROR(INDEX(FILTER('Result Review'!$X$5:$X$204,'Result Review'!$D$5:$D$204=$A116,'Result Review'!$R$5:$R$204="Approved Current"),1),""))</x:f>
      </x:c>
      <x:c r="H116" s="38" t="str">
        <x:f>IF($A116="","",IFERROR(INDEX(FILTER('Result Review'!$Y$5:$Y$204,'Result Review'!$D$5:$D$204=$A116,'Result Review'!$R$5:$R$204="Approved Current"),1),""))</x:f>
      </x:c>
      <x:c r="I116" s="38" t="str">
        <x:f>IF($A116="","",IFERROR(INDEX(FILTER('Result Review'!$J$5:$J$204,'Result Review'!$D$5:$D$204=$A116,'Result Review'!$R$5:$R$204="Approved Current"),1),""))</x:f>
      </x:c>
      <x:c r="J116" s="38" t="str">
        <x:f>IF($A116="","",IFERROR(INDEX(FILTER('Result Review'!$K$5:$K$204,'Result Review'!$D$5:$D$204=$A116,'Result Review'!$R$5:$R$204="Approved Current"),1),""))</x:f>
      </x:c>
      <x:c r="K116" s="38" t="str">
        <x:f>IF($A116="","",IFERROR(INDEX(FILTER('Result Review'!$Z$5:$Z$204,'Result Review'!$D$5:$D$204=$A116,'Result Review'!$R$5:$R$204="Approved Current"),1),""))</x:f>
      </x:c>
      <x:c r="L116" s="60" t="str">
        <x:f>IF($A116="","",IFERROR(INDEX(FILTER('Result Review'!$L$5:$L$204,'Result Review'!$D$5:$D$204=$A116,'Result Review'!$R$5:$R$204="Approved Current"),1),""))</x:f>
      </x:c>
      <x:c r="M116" s="38" t="str">
        <x:f>IF($A116="","",IFERROR(INDEX(FILTER('Result Review'!$B$5:$B$204,'Result Review'!$D$5:$D$204=$A116,'Result Review'!$R$5:$R$204="Approved Current"),1),""))</x:f>
      </x:c>
      <x:c r="N116" s="38" t="str">
        <x:f>IF($A116="","","Approved Current")</x:f>
      </x:c>
      <x:c r="O116" s="49" t="str">
        <x:f>IF($A116="","","Derived from Result Review row "&amp;M116)</x:f>
      </x:c>
    </x:row>
    <x:row r="117" ht="15" hidden="0" customHeight="1">
      <x:c r="A117" s="48" t="str">
        <x:f>IF(Fixtures!A117="","",IF(COUNTIFS('Result Review'!$D$5:$D$204,Fixtures!A117,'Result Review'!$R$5:$R$204,"Approved Current")=1,Fixtures!A117,""))</x:f>
      </x:c>
      <x:c r="B117" s="38" t="str">
        <x:f>IF($A117="","",XLOOKUP($A117,Fixtures!$A$5:$A$204,Fixtures!$B$5:$B$204,""))</x:f>
      </x:c>
      <x:c r="C117" s="38" t="str">
        <x:f>IF($A117="","",XLOOKUP($A117,Fixtures!$A$5:$A$204,Fixtures!$D$5:$D$204,""))</x:f>
      </x:c>
      <x:c r="D117" s="38" t="str">
        <x:f>IF($A117="","",XLOOKUP($A117,Fixtures!$A$5:$A$204,Fixtures!$E$5:$E$204,""))</x:f>
      </x:c>
      <x:c r="E117" s="38" t="str">
        <x:f>IF($A117="","",XLOOKUP($A117,Fixtures!$A$5:$A$204,Fixtures!$F$5:$F$204,""))</x:f>
      </x:c>
      <x:c r="F117" s="38" t="str">
        <x:f>IF($A117="","",XLOOKUP($A117,Fixtures!$A$5:$A$204,Fixtures!$G$5:$G$204,""))</x:f>
      </x:c>
      <x:c r="G117" s="38" t="str">
        <x:f>IF($A117="","",IFERROR(INDEX(FILTER('Result Review'!$X$5:$X$204,'Result Review'!$D$5:$D$204=$A117,'Result Review'!$R$5:$R$204="Approved Current"),1),""))</x:f>
      </x:c>
      <x:c r="H117" s="38" t="str">
        <x:f>IF($A117="","",IFERROR(INDEX(FILTER('Result Review'!$Y$5:$Y$204,'Result Review'!$D$5:$D$204=$A117,'Result Review'!$R$5:$R$204="Approved Current"),1),""))</x:f>
      </x:c>
      <x:c r="I117" s="38" t="str">
        <x:f>IF($A117="","",IFERROR(INDEX(FILTER('Result Review'!$J$5:$J$204,'Result Review'!$D$5:$D$204=$A117,'Result Review'!$R$5:$R$204="Approved Current"),1),""))</x:f>
      </x:c>
      <x:c r="J117" s="38" t="str">
        <x:f>IF($A117="","",IFERROR(INDEX(FILTER('Result Review'!$K$5:$K$204,'Result Review'!$D$5:$D$204=$A117,'Result Review'!$R$5:$R$204="Approved Current"),1),""))</x:f>
      </x:c>
      <x:c r="K117" s="38" t="str">
        <x:f>IF($A117="","",IFERROR(INDEX(FILTER('Result Review'!$Z$5:$Z$204,'Result Review'!$D$5:$D$204=$A117,'Result Review'!$R$5:$R$204="Approved Current"),1),""))</x:f>
      </x:c>
      <x:c r="L117" s="60" t="str">
        <x:f>IF($A117="","",IFERROR(INDEX(FILTER('Result Review'!$L$5:$L$204,'Result Review'!$D$5:$D$204=$A117,'Result Review'!$R$5:$R$204="Approved Current"),1),""))</x:f>
      </x:c>
      <x:c r="M117" s="38" t="str">
        <x:f>IF($A117="","",IFERROR(INDEX(FILTER('Result Review'!$B$5:$B$204,'Result Review'!$D$5:$D$204=$A117,'Result Review'!$R$5:$R$204="Approved Current"),1),""))</x:f>
      </x:c>
      <x:c r="N117" s="38" t="str">
        <x:f>IF($A117="","","Approved Current")</x:f>
      </x:c>
      <x:c r="O117" s="49" t="str">
        <x:f>IF($A117="","","Derived from Result Review row "&amp;M117)</x:f>
      </x:c>
    </x:row>
    <x:row r="118" ht="15" hidden="0" customHeight="1">
      <x:c r="A118" s="48" t="str">
        <x:f>IF(Fixtures!A118="","",IF(COUNTIFS('Result Review'!$D$5:$D$204,Fixtures!A118,'Result Review'!$R$5:$R$204,"Approved Current")=1,Fixtures!A118,""))</x:f>
      </x:c>
      <x:c r="B118" s="38" t="str">
        <x:f>IF($A118="","",XLOOKUP($A118,Fixtures!$A$5:$A$204,Fixtures!$B$5:$B$204,""))</x:f>
      </x:c>
      <x:c r="C118" s="38" t="str">
        <x:f>IF($A118="","",XLOOKUP($A118,Fixtures!$A$5:$A$204,Fixtures!$D$5:$D$204,""))</x:f>
      </x:c>
      <x:c r="D118" s="38" t="str">
        <x:f>IF($A118="","",XLOOKUP($A118,Fixtures!$A$5:$A$204,Fixtures!$E$5:$E$204,""))</x:f>
      </x:c>
      <x:c r="E118" s="38" t="str">
        <x:f>IF($A118="","",XLOOKUP($A118,Fixtures!$A$5:$A$204,Fixtures!$F$5:$F$204,""))</x:f>
      </x:c>
      <x:c r="F118" s="38" t="str">
        <x:f>IF($A118="","",XLOOKUP($A118,Fixtures!$A$5:$A$204,Fixtures!$G$5:$G$204,""))</x:f>
      </x:c>
      <x:c r="G118" s="38" t="str">
        <x:f>IF($A118="","",IFERROR(INDEX(FILTER('Result Review'!$X$5:$X$204,'Result Review'!$D$5:$D$204=$A118,'Result Review'!$R$5:$R$204="Approved Current"),1),""))</x:f>
      </x:c>
      <x:c r="H118" s="38" t="str">
        <x:f>IF($A118="","",IFERROR(INDEX(FILTER('Result Review'!$Y$5:$Y$204,'Result Review'!$D$5:$D$204=$A118,'Result Review'!$R$5:$R$204="Approved Current"),1),""))</x:f>
      </x:c>
      <x:c r="I118" s="38" t="str">
        <x:f>IF($A118="","",IFERROR(INDEX(FILTER('Result Review'!$J$5:$J$204,'Result Review'!$D$5:$D$204=$A118,'Result Review'!$R$5:$R$204="Approved Current"),1),""))</x:f>
      </x:c>
      <x:c r="J118" s="38" t="str">
        <x:f>IF($A118="","",IFERROR(INDEX(FILTER('Result Review'!$K$5:$K$204,'Result Review'!$D$5:$D$204=$A118,'Result Review'!$R$5:$R$204="Approved Current"),1),""))</x:f>
      </x:c>
      <x:c r="K118" s="38" t="str">
        <x:f>IF($A118="","",IFERROR(INDEX(FILTER('Result Review'!$Z$5:$Z$204,'Result Review'!$D$5:$D$204=$A118,'Result Review'!$R$5:$R$204="Approved Current"),1),""))</x:f>
      </x:c>
      <x:c r="L118" s="60" t="str">
        <x:f>IF($A118="","",IFERROR(INDEX(FILTER('Result Review'!$L$5:$L$204,'Result Review'!$D$5:$D$204=$A118,'Result Review'!$R$5:$R$204="Approved Current"),1),""))</x:f>
      </x:c>
      <x:c r="M118" s="38" t="str">
        <x:f>IF($A118="","",IFERROR(INDEX(FILTER('Result Review'!$B$5:$B$204,'Result Review'!$D$5:$D$204=$A118,'Result Review'!$R$5:$R$204="Approved Current"),1),""))</x:f>
      </x:c>
      <x:c r="N118" s="38" t="str">
        <x:f>IF($A118="","","Approved Current")</x:f>
      </x:c>
      <x:c r="O118" s="49" t="str">
        <x:f>IF($A118="","","Derived from Result Review row "&amp;M118)</x:f>
      </x:c>
    </x:row>
    <x:row r="119" ht="15" hidden="0" customHeight="1">
      <x:c r="A119" s="48" t="str">
        <x:f>IF(Fixtures!A119="","",IF(COUNTIFS('Result Review'!$D$5:$D$204,Fixtures!A119,'Result Review'!$R$5:$R$204,"Approved Current")=1,Fixtures!A119,""))</x:f>
      </x:c>
      <x:c r="B119" s="38" t="str">
        <x:f>IF($A119="","",XLOOKUP($A119,Fixtures!$A$5:$A$204,Fixtures!$B$5:$B$204,""))</x:f>
      </x:c>
      <x:c r="C119" s="38" t="str">
        <x:f>IF($A119="","",XLOOKUP($A119,Fixtures!$A$5:$A$204,Fixtures!$D$5:$D$204,""))</x:f>
      </x:c>
      <x:c r="D119" s="38" t="str">
        <x:f>IF($A119="","",XLOOKUP($A119,Fixtures!$A$5:$A$204,Fixtures!$E$5:$E$204,""))</x:f>
      </x:c>
      <x:c r="E119" s="38" t="str">
        <x:f>IF($A119="","",XLOOKUP($A119,Fixtures!$A$5:$A$204,Fixtures!$F$5:$F$204,""))</x:f>
      </x:c>
      <x:c r="F119" s="38" t="str">
        <x:f>IF($A119="","",XLOOKUP($A119,Fixtures!$A$5:$A$204,Fixtures!$G$5:$G$204,""))</x:f>
      </x:c>
      <x:c r="G119" s="38" t="str">
        <x:f>IF($A119="","",IFERROR(INDEX(FILTER('Result Review'!$X$5:$X$204,'Result Review'!$D$5:$D$204=$A119,'Result Review'!$R$5:$R$204="Approved Current"),1),""))</x:f>
      </x:c>
      <x:c r="H119" s="38" t="str">
        <x:f>IF($A119="","",IFERROR(INDEX(FILTER('Result Review'!$Y$5:$Y$204,'Result Review'!$D$5:$D$204=$A119,'Result Review'!$R$5:$R$204="Approved Current"),1),""))</x:f>
      </x:c>
      <x:c r="I119" s="38" t="str">
        <x:f>IF($A119="","",IFERROR(INDEX(FILTER('Result Review'!$J$5:$J$204,'Result Review'!$D$5:$D$204=$A119,'Result Review'!$R$5:$R$204="Approved Current"),1),""))</x:f>
      </x:c>
      <x:c r="J119" s="38" t="str">
        <x:f>IF($A119="","",IFERROR(INDEX(FILTER('Result Review'!$K$5:$K$204,'Result Review'!$D$5:$D$204=$A119,'Result Review'!$R$5:$R$204="Approved Current"),1),""))</x:f>
      </x:c>
      <x:c r="K119" s="38" t="str">
        <x:f>IF($A119="","",IFERROR(INDEX(FILTER('Result Review'!$Z$5:$Z$204,'Result Review'!$D$5:$D$204=$A119,'Result Review'!$R$5:$R$204="Approved Current"),1),""))</x:f>
      </x:c>
      <x:c r="L119" s="60" t="str">
        <x:f>IF($A119="","",IFERROR(INDEX(FILTER('Result Review'!$L$5:$L$204,'Result Review'!$D$5:$D$204=$A119,'Result Review'!$R$5:$R$204="Approved Current"),1),""))</x:f>
      </x:c>
      <x:c r="M119" s="38" t="str">
        <x:f>IF($A119="","",IFERROR(INDEX(FILTER('Result Review'!$B$5:$B$204,'Result Review'!$D$5:$D$204=$A119,'Result Review'!$R$5:$R$204="Approved Current"),1),""))</x:f>
      </x:c>
      <x:c r="N119" s="38" t="str">
        <x:f>IF($A119="","","Approved Current")</x:f>
      </x:c>
      <x:c r="O119" s="49" t="str">
        <x:f>IF($A119="","","Derived from Result Review row "&amp;M119)</x:f>
      </x:c>
    </x:row>
    <x:row r="120" ht="15" hidden="0" customHeight="1">
      <x:c r="A120" s="48" t="str">
        <x:f>IF(Fixtures!A120="","",IF(COUNTIFS('Result Review'!$D$5:$D$204,Fixtures!A120,'Result Review'!$R$5:$R$204,"Approved Current")=1,Fixtures!A120,""))</x:f>
      </x:c>
      <x:c r="B120" s="38" t="str">
        <x:f>IF($A120="","",XLOOKUP($A120,Fixtures!$A$5:$A$204,Fixtures!$B$5:$B$204,""))</x:f>
      </x:c>
      <x:c r="C120" s="38" t="str">
        <x:f>IF($A120="","",XLOOKUP($A120,Fixtures!$A$5:$A$204,Fixtures!$D$5:$D$204,""))</x:f>
      </x:c>
      <x:c r="D120" s="38" t="str">
        <x:f>IF($A120="","",XLOOKUP($A120,Fixtures!$A$5:$A$204,Fixtures!$E$5:$E$204,""))</x:f>
      </x:c>
      <x:c r="E120" s="38" t="str">
        <x:f>IF($A120="","",XLOOKUP($A120,Fixtures!$A$5:$A$204,Fixtures!$F$5:$F$204,""))</x:f>
      </x:c>
      <x:c r="F120" s="38" t="str">
        <x:f>IF($A120="","",XLOOKUP($A120,Fixtures!$A$5:$A$204,Fixtures!$G$5:$G$204,""))</x:f>
      </x:c>
      <x:c r="G120" s="38" t="str">
        <x:f>IF($A120="","",IFERROR(INDEX(FILTER('Result Review'!$X$5:$X$204,'Result Review'!$D$5:$D$204=$A120,'Result Review'!$R$5:$R$204="Approved Current"),1),""))</x:f>
      </x:c>
      <x:c r="H120" s="38" t="str">
        <x:f>IF($A120="","",IFERROR(INDEX(FILTER('Result Review'!$Y$5:$Y$204,'Result Review'!$D$5:$D$204=$A120,'Result Review'!$R$5:$R$204="Approved Current"),1),""))</x:f>
      </x:c>
      <x:c r="I120" s="38" t="str">
        <x:f>IF($A120="","",IFERROR(INDEX(FILTER('Result Review'!$J$5:$J$204,'Result Review'!$D$5:$D$204=$A120,'Result Review'!$R$5:$R$204="Approved Current"),1),""))</x:f>
      </x:c>
      <x:c r="J120" s="38" t="str">
        <x:f>IF($A120="","",IFERROR(INDEX(FILTER('Result Review'!$K$5:$K$204,'Result Review'!$D$5:$D$204=$A120,'Result Review'!$R$5:$R$204="Approved Current"),1),""))</x:f>
      </x:c>
      <x:c r="K120" s="38" t="str">
        <x:f>IF($A120="","",IFERROR(INDEX(FILTER('Result Review'!$Z$5:$Z$204,'Result Review'!$D$5:$D$204=$A120,'Result Review'!$R$5:$R$204="Approved Current"),1),""))</x:f>
      </x:c>
      <x:c r="L120" s="60" t="str">
        <x:f>IF($A120="","",IFERROR(INDEX(FILTER('Result Review'!$L$5:$L$204,'Result Review'!$D$5:$D$204=$A120,'Result Review'!$R$5:$R$204="Approved Current"),1),""))</x:f>
      </x:c>
      <x:c r="M120" s="38" t="str">
        <x:f>IF($A120="","",IFERROR(INDEX(FILTER('Result Review'!$B$5:$B$204,'Result Review'!$D$5:$D$204=$A120,'Result Review'!$R$5:$R$204="Approved Current"),1),""))</x:f>
      </x:c>
      <x:c r="N120" s="38" t="str">
        <x:f>IF($A120="","","Approved Current")</x:f>
      </x:c>
      <x:c r="O120" s="49" t="str">
        <x:f>IF($A120="","","Derived from Result Review row "&amp;M120)</x:f>
      </x:c>
    </x:row>
    <x:row r="121" ht="15" hidden="0" customHeight="1">
      <x:c r="A121" s="48" t="str">
        <x:f>IF(Fixtures!A121="","",IF(COUNTIFS('Result Review'!$D$5:$D$204,Fixtures!A121,'Result Review'!$R$5:$R$204,"Approved Current")=1,Fixtures!A121,""))</x:f>
      </x:c>
      <x:c r="B121" s="38" t="str">
        <x:f>IF($A121="","",XLOOKUP($A121,Fixtures!$A$5:$A$204,Fixtures!$B$5:$B$204,""))</x:f>
      </x:c>
      <x:c r="C121" s="38" t="str">
        <x:f>IF($A121="","",XLOOKUP($A121,Fixtures!$A$5:$A$204,Fixtures!$D$5:$D$204,""))</x:f>
      </x:c>
      <x:c r="D121" s="38" t="str">
        <x:f>IF($A121="","",XLOOKUP($A121,Fixtures!$A$5:$A$204,Fixtures!$E$5:$E$204,""))</x:f>
      </x:c>
      <x:c r="E121" s="38" t="str">
        <x:f>IF($A121="","",XLOOKUP($A121,Fixtures!$A$5:$A$204,Fixtures!$F$5:$F$204,""))</x:f>
      </x:c>
      <x:c r="F121" s="38" t="str">
        <x:f>IF($A121="","",XLOOKUP($A121,Fixtures!$A$5:$A$204,Fixtures!$G$5:$G$204,""))</x:f>
      </x:c>
      <x:c r="G121" s="38" t="str">
        <x:f>IF($A121="","",IFERROR(INDEX(FILTER('Result Review'!$X$5:$X$204,'Result Review'!$D$5:$D$204=$A121,'Result Review'!$R$5:$R$204="Approved Current"),1),""))</x:f>
      </x:c>
      <x:c r="H121" s="38" t="str">
        <x:f>IF($A121="","",IFERROR(INDEX(FILTER('Result Review'!$Y$5:$Y$204,'Result Review'!$D$5:$D$204=$A121,'Result Review'!$R$5:$R$204="Approved Current"),1),""))</x:f>
      </x:c>
      <x:c r="I121" s="38" t="str">
        <x:f>IF($A121="","",IFERROR(INDEX(FILTER('Result Review'!$J$5:$J$204,'Result Review'!$D$5:$D$204=$A121,'Result Review'!$R$5:$R$204="Approved Current"),1),""))</x:f>
      </x:c>
      <x:c r="J121" s="38" t="str">
        <x:f>IF($A121="","",IFERROR(INDEX(FILTER('Result Review'!$K$5:$K$204,'Result Review'!$D$5:$D$204=$A121,'Result Review'!$R$5:$R$204="Approved Current"),1),""))</x:f>
      </x:c>
      <x:c r="K121" s="38" t="str">
        <x:f>IF($A121="","",IFERROR(INDEX(FILTER('Result Review'!$Z$5:$Z$204,'Result Review'!$D$5:$D$204=$A121,'Result Review'!$R$5:$R$204="Approved Current"),1),""))</x:f>
      </x:c>
      <x:c r="L121" s="60" t="str">
        <x:f>IF($A121="","",IFERROR(INDEX(FILTER('Result Review'!$L$5:$L$204,'Result Review'!$D$5:$D$204=$A121,'Result Review'!$R$5:$R$204="Approved Current"),1),""))</x:f>
      </x:c>
      <x:c r="M121" s="38" t="str">
        <x:f>IF($A121="","",IFERROR(INDEX(FILTER('Result Review'!$B$5:$B$204,'Result Review'!$D$5:$D$204=$A121,'Result Review'!$R$5:$R$204="Approved Current"),1),""))</x:f>
      </x:c>
      <x:c r="N121" s="38" t="str">
        <x:f>IF($A121="","","Approved Current")</x:f>
      </x:c>
      <x:c r="O121" s="49" t="str">
        <x:f>IF($A121="","","Derived from Result Review row "&amp;M121)</x:f>
      </x:c>
    </x:row>
    <x:row r="122" ht="15" hidden="0" customHeight="1">
      <x:c r="A122" s="48" t="str">
        <x:f>IF(Fixtures!A122="","",IF(COUNTIFS('Result Review'!$D$5:$D$204,Fixtures!A122,'Result Review'!$R$5:$R$204,"Approved Current")=1,Fixtures!A122,""))</x:f>
      </x:c>
      <x:c r="B122" s="38" t="str">
        <x:f>IF($A122="","",XLOOKUP($A122,Fixtures!$A$5:$A$204,Fixtures!$B$5:$B$204,""))</x:f>
      </x:c>
      <x:c r="C122" s="38" t="str">
        <x:f>IF($A122="","",XLOOKUP($A122,Fixtures!$A$5:$A$204,Fixtures!$D$5:$D$204,""))</x:f>
      </x:c>
      <x:c r="D122" s="38" t="str">
        <x:f>IF($A122="","",XLOOKUP($A122,Fixtures!$A$5:$A$204,Fixtures!$E$5:$E$204,""))</x:f>
      </x:c>
      <x:c r="E122" s="38" t="str">
        <x:f>IF($A122="","",XLOOKUP($A122,Fixtures!$A$5:$A$204,Fixtures!$F$5:$F$204,""))</x:f>
      </x:c>
      <x:c r="F122" s="38" t="str">
        <x:f>IF($A122="","",XLOOKUP($A122,Fixtures!$A$5:$A$204,Fixtures!$G$5:$G$204,""))</x:f>
      </x:c>
      <x:c r="G122" s="38" t="str">
        <x:f>IF($A122="","",IFERROR(INDEX(FILTER('Result Review'!$X$5:$X$204,'Result Review'!$D$5:$D$204=$A122,'Result Review'!$R$5:$R$204="Approved Current"),1),""))</x:f>
      </x:c>
      <x:c r="H122" s="38" t="str">
        <x:f>IF($A122="","",IFERROR(INDEX(FILTER('Result Review'!$Y$5:$Y$204,'Result Review'!$D$5:$D$204=$A122,'Result Review'!$R$5:$R$204="Approved Current"),1),""))</x:f>
      </x:c>
      <x:c r="I122" s="38" t="str">
        <x:f>IF($A122="","",IFERROR(INDEX(FILTER('Result Review'!$J$5:$J$204,'Result Review'!$D$5:$D$204=$A122,'Result Review'!$R$5:$R$204="Approved Current"),1),""))</x:f>
      </x:c>
      <x:c r="J122" s="38" t="str">
        <x:f>IF($A122="","",IFERROR(INDEX(FILTER('Result Review'!$K$5:$K$204,'Result Review'!$D$5:$D$204=$A122,'Result Review'!$R$5:$R$204="Approved Current"),1),""))</x:f>
      </x:c>
      <x:c r="K122" s="38" t="str">
        <x:f>IF($A122="","",IFERROR(INDEX(FILTER('Result Review'!$Z$5:$Z$204,'Result Review'!$D$5:$D$204=$A122,'Result Review'!$R$5:$R$204="Approved Current"),1),""))</x:f>
      </x:c>
      <x:c r="L122" s="60" t="str">
        <x:f>IF($A122="","",IFERROR(INDEX(FILTER('Result Review'!$L$5:$L$204,'Result Review'!$D$5:$D$204=$A122,'Result Review'!$R$5:$R$204="Approved Current"),1),""))</x:f>
      </x:c>
      <x:c r="M122" s="38" t="str">
        <x:f>IF($A122="","",IFERROR(INDEX(FILTER('Result Review'!$B$5:$B$204,'Result Review'!$D$5:$D$204=$A122,'Result Review'!$R$5:$R$204="Approved Current"),1),""))</x:f>
      </x:c>
      <x:c r="N122" s="38" t="str">
        <x:f>IF($A122="","","Approved Current")</x:f>
      </x:c>
      <x:c r="O122" s="49" t="str">
        <x:f>IF($A122="","","Derived from Result Review row "&amp;M122)</x:f>
      </x:c>
    </x:row>
    <x:row r="123" ht="15" hidden="0" customHeight="1">
      <x:c r="A123" s="48" t="str">
        <x:f>IF(Fixtures!A123="","",IF(COUNTIFS('Result Review'!$D$5:$D$204,Fixtures!A123,'Result Review'!$R$5:$R$204,"Approved Current")=1,Fixtures!A123,""))</x:f>
      </x:c>
      <x:c r="B123" s="38" t="str">
        <x:f>IF($A123="","",XLOOKUP($A123,Fixtures!$A$5:$A$204,Fixtures!$B$5:$B$204,""))</x:f>
      </x:c>
      <x:c r="C123" s="38" t="str">
        <x:f>IF($A123="","",XLOOKUP($A123,Fixtures!$A$5:$A$204,Fixtures!$D$5:$D$204,""))</x:f>
      </x:c>
      <x:c r="D123" s="38" t="str">
        <x:f>IF($A123="","",XLOOKUP($A123,Fixtures!$A$5:$A$204,Fixtures!$E$5:$E$204,""))</x:f>
      </x:c>
      <x:c r="E123" s="38" t="str">
        <x:f>IF($A123="","",XLOOKUP($A123,Fixtures!$A$5:$A$204,Fixtures!$F$5:$F$204,""))</x:f>
      </x:c>
      <x:c r="F123" s="38" t="str">
        <x:f>IF($A123="","",XLOOKUP($A123,Fixtures!$A$5:$A$204,Fixtures!$G$5:$G$204,""))</x:f>
      </x:c>
      <x:c r="G123" s="38" t="str">
        <x:f>IF($A123="","",IFERROR(INDEX(FILTER('Result Review'!$X$5:$X$204,'Result Review'!$D$5:$D$204=$A123,'Result Review'!$R$5:$R$204="Approved Current"),1),""))</x:f>
      </x:c>
      <x:c r="H123" s="38" t="str">
        <x:f>IF($A123="","",IFERROR(INDEX(FILTER('Result Review'!$Y$5:$Y$204,'Result Review'!$D$5:$D$204=$A123,'Result Review'!$R$5:$R$204="Approved Current"),1),""))</x:f>
      </x:c>
      <x:c r="I123" s="38" t="str">
        <x:f>IF($A123="","",IFERROR(INDEX(FILTER('Result Review'!$J$5:$J$204,'Result Review'!$D$5:$D$204=$A123,'Result Review'!$R$5:$R$204="Approved Current"),1),""))</x:f>
      </x:c>
      <x:c r="J123" s="38" t="str">
        <x:f>IF($A123="","",IFERROR(INDEX(FILTER('Result Review'!$K$5:$K$204,'Result Review'!$D$5:$D$204=$A123,'Result Review'!$R$5:$R$204="Approved Current"),1),""))</x:f>
      </x:c>
      <x:c r="K123" s="38" t="str">
        <x:f>IF($A123="","",IFERROR(INDEX(FILTER('Result Review'!$Z$5:$Z$204,'Result Review'!$D$5:$D$204=$A123,'Result Review'!$R$5:$R$204="Approved Current"),1),""))</x:f>
      </x:c>
      <x:c r="L123" s="60" t="str">
        <x:f>IF($A123="","",IFERROR(INDEX(FILTER('Result Review'!$L$5:$L$204,'Result Review'!$D$5:$D$204=$A123,'Result Review'!$R$5:$R$204="Approved Current"),1),""))</x:f>
      </x:c>
      <x:c r="M123" s="38" t="str">
        <x:f>IF($A123="","",IFERROR(INDEX(FILTER('Result Review'!$B$5:$B$204,'Result Review'!$D$5:$D$204=$A123,'Result Review'!$R$5:$R$204="Approved Current"),1),""))</x:f>
      </x:c>
      <x:c r="N123" s="38" t="str">
        <x:f>IF($A123="","","Approved Current")</x:f>
      </x:c>
      <x:c r="O123" s="49" t="str">
        <x:f>IF($A123="","","Derived from Result Review row "&amp;M123)</x:f>
      </x:c>
    </x:row>
    <x:row r="124" ht="15" hidden="0" customHeight="1">
      <x:c r="A124" s="48" t="str">
        <x:f>IF(Fixtures!A124="","",IF(COUNTIFS('Result Review'!$D$5:$D$204,Fixtures!A124,'Result Review'!$R$5:$R$204,"Approved Current")=1,Fixtures!A124,""))</x:f>
      </x:c>
      <x:c r="B124" s="38" t="str">
        <x:f>IF($A124="","",XLOOKUP($A124,Fixtures!$A$5:$A$204,Fixtures!$B$5:$B$204,""))</x:f>
      </x:c>
      <x:c r="C124" s="38" t="str">
        <x:f>IF($A124="","",XLOOKUP($A124,Fixtures!$A$5:$A$204,Fixtures!$D$5:$D$204,""))</x:f>
      </x:c>
      <x:c r="D124" s="38" t="str">
        <x:f>IF($A124="","",XLOOKUP($A124,Fixtures!$A$5:$A$204,Fixtures!$E$5:$E$204,""))</x:f>
      </x:c>
      <x:c r="E124" s="38" t="str">
        <x:f>IF($A124="","",XLOOKUP($A124,Fixtures!$A$5:$A$204,Fixtures!$F$5:$F$204,""))</x:f>
      </x:c>
      <x:c r="F124" s="38" t="str">
        <x:f>IF($A124="","",XLOOKUP($A124,Fixtures!$A$5:$A$204,Fixtures!$G$5:$G$204,""))</x:f>
      </x:c>
      <x:c r="G124" s="38" t="str">
        <x:f>IF($A124="","",IFERROR(INDEX(FILTER('Result Review'!$X$5:$X$204,'Result Review'!$D$5:$D$204=$A124,'Result Review'!$R$5:$R$204="Approved Current"),1),""))</x:f>
      </x:c>
      <x:c r="H124" s="38" t="str">
        <x:f>IF($A124="","",IFERROR(INDEX(FILTER('Result Review'!$Y$5:$Y$204,'Result Review'!$D$5:$D$204=$A124,'Result Review'!$R$5:$R$204="Approved Current"),1),""))</x:f>
      </x:c>
      <x:c r="I124" s="38" t="str">
        <x:f>IF($A124="","",IFERROR(INDEX(FILTER('Result Review'!$J$5:$J$204,'Result Review'!$D$5:$D$204=$A124,'Result Review'!$R$5:$R$204="Approved Current"),1),""))</x:f>
      </x:c>
      <x:c r="J124" s="38" t="str">
        <x:f>IF($A124="","",IFERROR(INDEX(FILTER('Result Review'!$K$5:$K$204,'Result Review'!$D$5:$D$204=$A124,'Result Review'!$R$5:$R$204="Approved Current"),1),""))</x:f>
      </x:c>
      <x:c r="K124" s="38" t="str">
        <x:f>IF($A124="","",IFERROR(INDEX(FILTER('Result Review'!$Z$5:$Z$204,'Result Review'!$D$5:$D$204=$A124,'Result Review'!$R$5:$R$204="Approved Current"),1),""))</x:f>
      </x:c>
      <x:c r="L124" s="60" t="str">
        <x:f>IF($A124="","",IFERROR(INDEX(FILTER('Result Review'!$L$5:$L$204,'Result Review'!$D$5:$D$204=$A124,'Result Review'!$R$5:$R$204="Approved Current"),1),""))</x:f>
      </x:c>
      <x:c r="M124" s="38" t="str">
        <x:f>IF($A124="","",IFERROR(INDEX(FILTER('Result Review'!$B$5:$B$204,'Result Review'!$D$5:$D$204=$A124,'Result Review'!$R$5:$R$204="Approved Current"),1),""))</x:f>
      </x:c>
      <x:c r="N124" s="38" t="str">
        <x:f>IF($A124="","","Approved Current")</x:f>
      </x:c>
      <x:c r="O124" s="49" t="str">
        <x:f>IF($A124="","","Derived from Result Review row "&amp;M124)</x:f>
      </x:c>
    </x:row>
    <x:row r="125" ht="15" hidden="0" customHeight="1">
      <x:c r="A125" s="48" t="str">
        <x:f>IF(Fixtures!A125="","",IF(COUNTIFS('Result Review'!$D$5:$D$204,Fixtures!A125,'Result Review'!$R$5:$R$204,"Approved Current")=1,Fixtures!A125,""))</x:f>
      </x:c>
      <x:c r="B125" s="38" t="str">
        <x:f>IF($A125="","",XLOOKUP($A125,Fixtures!$A$5:$A$204,Fixtures!$B$5:$B$204,""))</x:f>
      </x:c>
      <x:c r="C125" s="38" t="str">
        <x:f>IF($A125="","",XLOOKUP($A125,Fixtures!$A$5:$A$204,Fixtures!$D$5:$D$204,""))</x:f>
      </x:c>
      <x:c r="D125" s="38" t="str">
        <x:f>IF($A125="","",XLOOKUP($A125,Fixtures!$A$5:$A$204,Fixtures!$E$5:$E$204,""))</x:f>
      </x:c>
      <x:c r="E125" s="38" t="str">
        <x:f>IF($A125="","",XLOOKUP($A125,Fixtures!$A$5:$A$204,Fixtures!$F$5:$F$204,""))</x:f>
      </x:c>
      <x:c r="F125" s="38" t="str">
        <x:f>IF($A125="","",XLOOKUP($A125,Fixtures!$A$5:$A$204,Fixtures!$G$5:$G$204,""))</x:f>
      </x:c>
      <x:c r="G125" s="38" t="str">
        <x:f>IF($A125="","",IFERROR(INDEX(FILTER('Result Review'!$X$5:$X$204,'Result Review'!$D$5:$D$204=$A125,'Result Review'!$R$5:$R$204="Approved Current"),1),""))</x:f>
      </x:c>
      <x:c r="H125" s="38" t="str">
        <x:f>IF($A125="","",IFERROR(INDEX(FILTER('Result Review'!$Y$5:$Y$204,'Result Review'!$D$5:$D$204=$A125,'Result Review'!$R$5:$R$204="Approved Current"),1),""))</x:f>
      </x:c>
      <x:c r="I125" s="38" t="str">
        <x:f>IF($A125="","",IFERROR(INDEX(FILTER('Result Review'!$J$5:$J$204,'Result Review'!$D$5:$D$204=$A125,'Result Review'!$R$5:$R$204="Approved Current"),1),""))</x:f>
      </x:c>
      <x:c r="J125" s="38" t="str">
        <x:f>IF($A125="","",IFERROR(INDEX(FILTER('Result Review'!$K$5:$K$204,'Result Review'!$D$5:$D$204=$A125,'Result Review'!$R$5:$R$204="Approved Current"),1),""))</x:f>
      </x:c>
      <x:c r="K125" s="38" t="str">
        <x:f>IF($A125="","",IFERROR(INDEX(FILTER('Result Review'!$Z$5:$Z$204,'Result Review'!$D$5:$D$204=$A125,'Result Review'!$R$5:$R$204="Approved Current"),1),""))</x:f>
      </x:c>
      <x:c r="L125" s="60" t="str">
        <x:f>IF($A125="","",IFERROR(INDEX(FILTER('Result Review'!$L$5:$L$204,'Result Review'!$D$5:$D$204=$A125,'Result Review'!$R$5:$R$204="Approved Current"),1),""))</x:f>
      </x:c>
      <x:c r="M125" s="38" t="str">
        <x:f>IF($A125="","",IFERROR(INDEX(FILTER('Result Review'!$B$5:$B$204,'Result Review'!$D$5:$D$204=$A125,'Result Review'!$R$5:$R$204="Approved Current"),1),""))</x:f>
      </x:c>
      <x:c r="N125" s="38" t="str">
        <x:f>IF($A125="","","Approved Current")</x:f>
      </x:c>
      <x:c r="O125" s="49" t="str">
        <x:f>IF($A125="","","Derived from Result Review row "&amp;M125)</x:f>
      </x:c>
    </x:row>
    <x:row r="126" ht="15" hidden="0" customHeight="1">
      <x:c r="A126" s="48" t="str">
        <x:f>IF(Fixtures!A126="","",IF(COUNTIFS('Result Review'!$D$5:$D$204,Fixtures!A126,'Result Review'!$R$5:$R$204,"Approved Current")=1,Fixtures!A126,""))</x:f>
      </x:c>
      <x:c r="B126" s="38" t="str">
        <x:f>IF($A126="","",XLOOKUP($A126,Fixtures!$A$5:$A$204,Fixtures!$B$5:$B$204,""))</x:f>
      </x:c>
      <x:c r="C126" s="38" t="str">
        <x:f>IF($A126="","",XLOOKUP($A126,Fixtures!$A$5:$A$204,Fixtures!$D$5:$D$204,""))</x:f>
      </x:c>
      <x:c r="D126" s="38" t="str">
        <x:f>IF($A126="","",XLOOKUP($A126,Fixtures!$A$5:$A$204,Fixtures!$E$5:$E$204,""))</x:f>
      </x:c>
      <x:c r="E126" s="38" t="str">
        <x:f>IF($A126="","",XLOOKUP($A126,Fixtures!$A$5:$A$204,Fixtures!$F$5:$F$204,""))</x:f>
      </x:c>
      <x:c r="F126" s="38" t="str">
        <x:f>IF($A126="","",XLOOKUP($A126,Fixtures!$A$5:$A$204,Fixtures!$G$5:$G$204,""))</x:f>
      </x:c>
      <x:c r="G126" s="38" t="str">
        <x:f>IF($A126="","",IFERROR(INDEX(FILTER('Result Review'!$X$5:$X$204,'Result Review'!$D$5:$D$204=$A126,'Result Review'!$R$5:$R$204="Approved Current"),1),""))</x:f>
      </x:c>
      <x:c r="H126" s="38" t="str">
        <x:f>IF($A126="","",IFERROR(INDEX(FILTER('Result Review'!$Y$5:$Y$204,'Result Review'!$D$5:$D$204=$A126,'Result Review'!$R$5:$R$204="Approved Current"),1),""))</x:f>
      </x:c>
      <x:c r="I126" s="38" t="str">
        <x:f>IF($A126="","",IFERROR(INDEX(FILTER('Result Review'!$J$5:$J$204,'Result Review'!$D$5:$D$204=$A126,'Result Review'!$R$5:$R$204="Approved Current"),1),""))</x:f>
      </x:c>
      <x:c r="J126" s="38" t="str">
        <x:f>IF($A126="","",IFERROR(INDEX(FILTER('Result Review'!$K$5:$K$204,'Result Review'!$D$5:$D$204=$A126,'Result Review'!$R$5:$R$204="Approved Current"),1),""))</x:f>
      </x:c>
      <x:c r="K126" s="38" t="str">
        <x:f>IF($A126="","",IFERROR(INDEX(FILTER('Result Review'!$Z$5:$Z$204,'Result Review'!$D$5:$D$204=$A126,'Result Review'!$R$5:$R$204="Approved Current"),1),""))</x:f>
      </x:c>
      <x:c r="L126" s="60" t="str">
        <x:f>IF($A126="","",IFERROR(INDEX(FILTER('Result Review'!$L$5:$L$204,'Result Review'!$D$5:$D$204=$A126,'Result Review'!$R$5:$R$204="Approved Current"),1),""))</x:f>
      </x:c>
      <x:c r="M126" s="38" t="str">
        <x:f>IF($A126="","",IFERROR(INDEX(FILTER('Result Review'!$B$5:$B$204,'Result Review'!$D$5:$D$204=$A126,'Result Review'!$R$5:$R$204="Approved Current"),1),""))</x:f>
      </x:c>
      <x:c r="N126" s="38" t="str">
        <x:f>IF($A126="","","Approved Current")</x:f>
      </x:c>
      <x:c r="O126" s="49" t="str">
        <x:f>IF($A126="","","Derived from Result Review row "&amp;M126)</x:f>
      </x:c>
    </x:row>
    <x:row r="127" ht="15" hidden="0" customHeight="1">
      <x:c r="A127" s="48" t="str">
        <x:f>IF(Fixtures!A127="","",IF(COUNTIFS('Result Review'!$D$5:$D$204,Fixtures!A127,'Result Review'!$R$5:$R$204,"Approved Current")=1,Fixtures!A127,""))</x:f>
      </x:c>
      <x:c r="B127" s="38" t="str">
        <x:f>IF($A127="","",XLOOKUP($A127,Fixtures!$A$5:$A$204,Fixtures!$B$5:$B$204,""))</x:f>
      </x:c>
      <x:c r="C127" s="38" t="str">
        <x:f>IF($A127="","",XLOOKUP($A127,Fixtures!$A$5:$A$204,Fixtures!$D$5:$D$204,""))</x:f>
      </x:c>
      <x:c r="D127" s="38" t="str">
        <x:f>IF($A127="","",XLOOKUP($A127,Fixtures!$A$5:$A$204,Fixtures!$E$5:$E$204,""))</x:f>
      </x:c>
      <x:c r="E127" s="38" t="str">
        <x:f>IF($A127="","",XLOOKUP($A127,Fixtures!$A$5:$A$204,Fixtures!$F$5:$F$204,""))</x:f>
      </x:c>
      <x:c r="F127" s="38" t="str">
        <x:f>IF($A127="","",XLOOKUP($A127,Fixtures!$A$5:$A$204,Fixtures!$G$5:$G$204,""))</x:f>
      </x:c>
      <x:c r="G127" s="38" t="str">
        <x:f>IF($A127="","",IFERROR(INDEX(FILTER('Result Review'!$X$5:$X$204,'Result Review'!$D$5:$D$204=$A127,'Result Review'!$R$5:$R$204="Approved Current"),1),""))</x:f>
      </x:c>
      <x:c r="H127" s="38" t="str">
        <x:f>IF($A127="","",IFERROR(INDEX(FILTER('Result Review'!$Y$5:$Y$204,'Result Review'!$D$5:$D$204=$A127,'Result Review'!$R$5:$R$204="Approved Current"),1),""))</x:f>
      </x:c>
      <x:c r="I127" s="38" t="str">
        <x:f>IF($A127="","",IFERROR(INDEX(FILTER('Result Review'!$J$5:$J$204,'Result Review'!$D$5:$D$204=$A127,'Result Review'!$R$5:$R$204="Approved Current"),1),""))</x:f>
      </x:c>
      <x:c r="J127" s="38" t="str">
        <x:f>IF($A127="","",IFERROR(INDEX(FILTER('Result Review'!$K$5:$K$204,'Result Review'!$D$5:$D$204=$A127,'Result Review'!$R$5:$R$204="Approved Current"),1),""))</x:f>
      </x:c>
      <x:c r="K127" s="38" t="str">
        <x:f>IF($A127="","",IFERROR(INDEX(FILTER('Result Review'!$Z$5:$Z$204,'Result Review'!$D$5:$D$204=$A127,'Result Review'!$R$5:$R$204="Approved Current"),1),""))</x:f>
      </x:c>
      <x:c r="L127" s="60" t="str">
        <x:f>IF($A127="","",IFERROR(INDEX(FILTER('Result Review'!$L$5:$L$204,'Result Review'!$D$5:$D$204=$A127,'Result Review'!$R$5:$R$204="Approved Current"),1),""))</x:f>
      </x:c>
      <x:c r="M127" s="38" t="str">
        <x:f>IF($A127="","",IFERROR(INDEX(FILTER('Result Review'!$B$5:$B$204,'Result Review'!$D$5:$D$204=$A127,'Result Review'!$R$5:$R$204="Approved Current"),1),""))</x:f>
      </x:c>
      <x:c r="N127" s="38" t="str">
        <x:f>IF($A127="","","Approved Current")</x:f>
      </x:c>
      <x:c r="O127" s="49" t="str">
        <x:f>IF($A127="","","Derived from Result Review row "&amp;M127)</x:f>
      </x:c>
    </x:row>
    <x:row r="128" ht="15" hidden="0" customHeight="1">
      <x:c r="A128" s="48" t="str">
        <x:f>IF(Fixtures!A128="","",IF(COUNTIFS('Result Review'!$D$5:$D$204,Fixtures!A128,'Result Review'!$R$5:$R$204,"Approved Current")=1,Fixtures!A128,""))</x:f>
      </x:c>
      <x:c r="B128" s="38" t="str">
        <x:f>IF($A128="","",XLOOKUP($A128,Fixtures!$A$5:$A$204,Fixtures!$B$5:$B$204,""))</x:f>
      </x:c>
      <x:c r="C128" s="38" t="str">
        <x:f>IF($A128="","",XLOOKUP($A128,Fixtures!$A$5:$A$204,Fixtures!$D$5:$D$204,""))</x:f>
      </x:c>
      <x:c r="D128" s="38" t="str">
        <x:f>IF($A128="","",XLOOKUP($A128,Fixtures!$A$5:$A$204,Fixtures!$E$5:$E$204,""))</x:f>
      </x:c>
      <x:c r="E128" s="38" t="str">
        <x:f>IF($A128="","",XLOOKUP($A128,Fixtures!$A$5:$A$204,Fixtures!$F$5:$F$204,""))</x:f>
      </x:c>
      <x:c r="F128" s="38" t="str">
        <x:f>IF($A128="","",XLOOKUP($A128,Fixtures!$A$5:$A$204,Fixtures!$G$5:$G$204,""))</x:f>
      </x:c>
      <x:c r="G128" s="38" t="str">
        <x:f>IF($A128="","",IFERROR(INDEX(FILTER('Result Review'!$X$5:$X$204,'Result Review'!$D$5:$D$204=$A128,'Result Review'!$R$5:$R$204="Approved Current"),1),""))</x:f>
      </x:c>
      <x:c r="H128" s="38" t="str">
        <x:f>IF($A128="","",IFERROR(INDEX(FILTER('Result Review'!$Y$5:$Y$204,'Result Review'!$D$5:$D$204=$A128,'Result Review'!$R$5:$R$204="Approved Current"),1),""))</x:f>
      </x:c>
      <x:c r="I128" s="38" t="str">
        <x:f>IF($A128="","",IFERROR(INDEX(FILTER('Result Review'!$J$5:$J$204,'Result Review'!$D$5:$D$204=$A128,'Result Review'!$R$5:$R$204="Approved Current"),1),""))</x:f>
      </x:c>
      <x:c r="J128" s="38" t="str">
        <x:f>IF($A128="","",IFERROR(INDEX(FILTER('Result Review'!$K$5:$K$204,'Result Review'!$D$5:$D$204=$A128,'Result Review'!$R$5:$R$204="Approved Current"),1),""))</x:f>
      </x:c>
      <x:c r="K128" s="38" t="str">
        <x:f>IF($A128="","",IFERROR(INDEX(FILTER('Result Review'!$Z$5:$Z$204,'Result Review'!$D$5:$D$204=$A128,'Result Review'!$R$5:$R$204="Approved Current"),1),""))</x:f>
      </x:c>
      <x:c r="L128" s="60" t="str">
        <x:f>IF($A128="","",IFERROR(INDEX(FILTER('Result Review'!$L$5:$L$204,'Result Review'!$D$5:$D$204=$A128,'Result Review'!$R$5:$R$204="Approved Current"),1),""))</x:f>
      </x:c>
      <x:c r="M128" s="38" t="str">
        <x:f>IF($A128="","",IFERROR(INDEX(FILTER('Result Review'!$B$5:$B$204,'Result Review'!$D$5:$D$204=$A128,'Result Review'!$R$5:$R$204="Approved Current"),1),""))</x:f>
      </x:c>
      <x:c r="N128" s="38" t="str">
        <x:f>IF($A128="","","Approved Current")</x:f>
      </x:c>
      <x:c r="O128" s="49" t="str">
        <x:f>IF($A128="","","Derived from Result Review row "&amp;M128)</x:f>
      </x:c>
    </x:row>
    <x:row r="129" ht="15" hidden="0" customHeight="1">
      <x:c r="A129" s="48" t="str">
        <x:f>IF(Fixtures!A129="","",IF(COUNTIFS('Result Review'!$D$5:$D$204,Fixtures!A129,'Result Review'!$R$5:$R$204,"Approved Current")=1,Fixtures!A129,""))</x:f>
      </x:c>
      <x:c r="B129" s="38" t="str">
        <x:f>IF($A129="","",XLOOKUP($A129,Fixtures!$A$5:$A$204,Fixtures!$B$5:$B$204,""))</x:f>
      </x:c>
      <x:c r="C129" s="38" t="str">
        <x:f>IF($A129="","",XLOOKUP($A129,Fixtures!$A$5:$A$204,Fixtures!$D$5:$D$204,""))</x:f>
      </x:c>
      <x:c r="D129" s="38" t="str">
        <x:f>IF($A129="","",XLOOKUP($A129,Fixtures!$A$5:$A$204,Fixtures!$E$5:$E$204,""))</x:f>
      </x:c>
      <x:c r="E129" s="38" t="str">
        <x:f>IF($A129="","",XLOOKUP($A129,Fixtures!$A$5:$A$204,Fixtures!$F$5:$F$204,""))</x:f>
      </x:c>
      <x:c r="F129" s="38" t="str">
        <x:f>IF($A129="","",XLOOKUP($A129,Fixtures!$A$5:$A$204,Fixtures!$G$5:$G$204,""))</x:f>
      </x:c>
      <x:c r="G129" s="38" t="str">
        <x:f>IF($A129="","",IFERROR(INDEX(FILTER('Result Review'!$X$5:$X$204,'Result Review'!$D$5:$D$204=$A129,'Result Review'!$R$5:$R$204="Approved Current"),1),""))</x:f>
      </x:c>
      <x:c r="H129" s="38" t="str">
        <x:f>IF($A129="","",IFERROR(INDEX(FILTER('Result Review'!$Y$5:$Y$204,'Result Review'!$D$5:$D$204=$A129,'Result Review'!$R$5:$R$204="Approved Current"),1),""))</x:f>
      </x:c>
      <x:c r="I129" s="38" t="str">
        <x:f>IF($A129="","",IFERROR(INDEX(FILTER('Result Review'!$J$5:$J$204,'Result Review'!$D$5:$D$204=$A129,'Result Review'!$R$5:$R$204="Approved Current"),1),""))</x:f>
      </x:c>
      <x:c r="J129" s="38" t="str">
        <x:f>IF($A129="","",IFERROR(INDEX(FILTER('Result Review'!$K$5:$K$204,'Result Review'!$D$5:$D$204=$A129,'Result Review'!$R$5:$R$204="Approved Current"),1),""))</x:f>
      </x:c>
      <x:c r="K129" s="38" t="str">
        <x:f>IF($A129="","",IFERROR(INDEX(FILTER('Result Review'!$Z$5:$Z$204,'Result Review'!$D$5:$D$204=$A129,'Result Review'!$R$5:$R$204="Approved Current"),1),""))</x:f>
      </x:c>
      <x:c r="L129" s="60" t="str">
        <x:f>IF($A129="","",IFERROR(INDEX(FILTER('Result Review'!$L$5:$L$204,'Result Review'!$D$5:$D$204=$A129,'Result Review'!$R$5:$R$204="Approved Current"),1),""))</x:f>
      </x:c>
      <x:c r="M129" s="38" t="str">
        <x:f>IF($A129="","",IFERROR(INDEX(FILTER('Result Review'!$B$5:$B$204,'Result Review'!$D$5:$D$204=$A129,'Result Review'!$R$5:$R$204="Approved Current"),1),""))</x:f>
      </x:c>
      <x:c r="N129" s="38" t="str">
        <x:f>IF($A129="","","Approved Current")</x:f>
      </x:c>
      <x:c r="O129" s="49" t="str">
        <x:f>IF($A129="","","Derived from Result Review row "&amp;M129)</x:f>
      </x:c>
    </x:row>
    <x:row r="130" ht="15" hidden="0" customHeight="1">
      <x:c r="A130" s="48" t="str">
        <x:f>IF(Fixtures!A130="","",IF(COUNTIFS('Result Review'!$D$5:$D$204,Fixtures!A130,'Result Review'!$R$5:$R$204,"Approved Current")=1,Fixtures!A130,""))</x:f>
      </x:c>
      <x:c r="B130" s="38" t="str">
        <x:f>IF($A130="","",XLOOKUP($A130,Fixtures!$A$5:$A$204,Fixtures!$B$5:$B$204,""))</x:f>
      </x:c>
      <x:c r="C130" s="38" t="str">
        <x:f>IF($A130="","",XLOOKUP($A130,Fixtures!$A$5:$A$204,Fixtures!$D$5:$D$204,""))</x:f>
      </x:c>
      <x:c r="D130" s="38" t="str">
        <x:f>IF($A130="","",XLOOKUP($A130,Fixtures!$A$5:$A$204,Fixtures!$E$5:$E$204,""))</x:f>
      </x:c>
      <x:c r="E130" s="38" t="str">
        <x:f>IF($A130="","",XLOOKUP($A130,Fixtures!$A$5:$A$204,Fixtures!$F$5:$F$204,""))</x:f>
      </x:c>
      <x:c r="F130" s="38" t="str">
        <x:f>IF($A130="","",XLOOKUP($A130,Fixtures!$A$5:$A$204,Fixtures!$G$5:$G$204,""))</x:f>
      </x:c>
      <x:c r="G130" s="38" t="str">
        <x:f>IF($A130="","",IFERROR(INDEX(FILTER('Result Review'!$X$5:$X$204,'Result Review'!$D$5:$D$204=$A130,'Result Review'!$R$5:$R$204="Approved Current"),1),""))</x:f>
      </x:c>
      <x:c r="H130" s="38" t="str">
        <x:f>IF($A130="","",IFERROR(INDEX(FILTER('Result Review'!$Y$5:$Y$204,'Result Review'!$D$5:$D$204=$A130,'Result Review'!$R$5:$R$204="Approved Current"),1),""))</x:f>
      </x:c>
      <x:c r="I130" s="38" t="str">
        <x:f>IF($A130="","",IFERROR(INDEX(FILTER('Result Review'!$J$5:$J$204,'Result Review'!$D$5:$D$204=$A130,'Result Review'!$R$5:$R$204="Approved Current"),1),""))</x:f>
      </x:c>
      <x:c r="J130" s="38" t="str">
        <x:f>IF($A130="","",IFERROR(INDEX(FILTER('Result Review'!$K$5:$K$204,'Result Review'!$D$5:$D$204=$A130,'Result Review'!$R$5:$R$204="Approved Current"),1),""))</x:f>
      </x:c>
      <x:c r="K130" s="38" t="str">
        <x:f>IF($A130="","",IFERROR(INDEX(FILTER('Result Review'!$Z$5:$Z$204,'Result Review'!$D$5:$D$204=$A130,'Result Review'!$R$5:$R$204="Approved Current"),1),""))</x:f>
      </x:c>
      <x:c r="L130" s="60" t="str">
        <x:f>IF($A130="","",IFERROR(INDEX(FILTER('Result Review'!$L$5:$L$204,'Result Review'!$D$5:$D$204=$A130,'Result Review'!$R$5:$R$204="Approved Current"),1),""))</x:f>
      </x:c>
      <x:c r="M130" s="38" t="str">
        <x:f>IF($A130="","",IFERROR(INDEX(FILTER('Result Review'!$B$5:$B$204,'Result Review'!$D$5:$D$204=$A130,'Result Review'!$R$5:$R$204="Approved Current"),1),""))</x:f>
      </x:c>
      <x:c r="N130" s="38" t="str">
        <x:f>IF($A130="","","Approved Current")</x:f>
      </x:c>
      <x:c r="O130" s="49" t="str">
        <x:f>IF($A130="","","Derived from Result Review row "&amp;M130)</x:f>
      </x:c>
    </x:row>
    <x:row r="131" ht="15" hidden="0" customHeight="1">
      <x:c r="A131" s="48" t="str">
        <x:f>IF(Fixtures!A131="","",IF(COUNTIFS('Result Review'!$D$5:$D$204,Fixtures!A131,'Result Review'!$R$5:$R$204,"Approved Current")=1,Fixtures!A131,""))</x:f>
      </x:c>
      <x:c r="B131" s="38" t="str">
        <x:f>IF($A131="","",XLOOKUP($A131,Fixtures!$A$5:$A$204,Fixtures!$B$5:$B$204,""))</x:f>
      </x:c>
      <x:c r="C131" s="38" t="str">
        <x:f>IF($A131="","",XLOOKUP($A131,Fixtures!$A$5:$A$204,Fixtures!$D$5:$D$204,""))</x:f>
      </x:c>
      <x:c r="D131" s="38" t="str">
        <x:f>IF($A131="","",XLOOKUP($A131,Fixtures!$A$5:$A$204,Fixtures!$E$5:$E$204,""))</x:f>
      </x:c>
      <x:c r="E131" s="38" t="str">
        <x:f>IF($A131="","",XLOOKUP($A131,Fixtures!$A$5:$A$204,Fixtures!$F$5:$F$204,""))</x:f>
      </x:c>
      <x:c r="F131" s="38" t="str">
        <x:f>IF($A131="","",XLOOKUP($A131,Fixtures!$A$5:$A$204,Fixtures!$G$5:$G$204,""))</x:f>
      </x:c>
      <x:c r="G131" s="38" t="str">
        <x:f>IF($A131="","",IFERROR(INDEX(FILTER('Result Review'!$X$5:$X$204,'Result Review'!$D$5:$D$204=$A131,'Result Review'!$R$5:$R$204="Approved Current"),1),""))</x:f>
      </x:c>
      <x:c r="H131" s="38" t="str">
        <x:f>IF($A131="","",IFERROR(INDEX(FILTER('Result Review'!$Y$5:$Y$204,'Result Review'!$D$5:$D$204=$A131,'Result Review'!$R$5:$R$204="Approved Current"),1),""))</x:f>
      </x:c>
      <x:c r="I131" s="38" t="str">
        <x:f>IF($A131="","",IFERROR(INDEX(FILTER('Result Review'!$J$5:$J$204,'Result Review'!$D$5:$D$204=$A131,'Result Review'!$R$5:$R$204="Approved Current"),1),""))</x:f>
      </x:c>
      <x:c r="J131" s="38" t="str">
        <x:f>IF($A131="","",IFERROR(INDEX(FILTER('Result Review'!$K$5:$K$204,'Result Review'!$D$5:$D$204=$A131,'Result Review'!$R$5:$R$204="Approved Current"),1),""))</x:f>
      </x:c>
      <x:c r="K131" s="38" t="str">
        <x:f>IF($A131="","",IFERROR(INDEX(FILTER('Result Review'!$Z$5:$Z$204,'Result Review'!$D$5:$D$204=$A131,'Result Review'!$R$5:$R$204="Approved Current"),1),""))</x:f>
      </x:c>
      <x:c r="L131" s="60" t="str">
        <x:f>IF($A131="","",IFERROR(INDEX(FILTER('Result Review'!$L$5:$L$204,'Result Review'!$D$5:$D$204=$A131,'Result Review'!$R$5:$R$204="Approved Current"),1),""))</x:f>
      </x:c>
      <x:c r="M131" s="38" t="str">
        <x:f>IF($A131="","",IFERROR(INDEX(FILTER('Result Review'!$B$5:$B$204,'Result Review'!$D$5:$D$204=$A131,'Result Review'!$R$5:$R$204="Approved Current"),1),""))</x:f>
      </x:c>
      <x:c r="N131" s="38" t="str">
        <x:f>IF($A131="","","Approved Current")</x:f>
      </x:c>
      <x:c r="O131" s="49" t="str">
        <x:f>IF($A131="","","Derived from Result Review row "&amp;M131)</x:f>
      </x:c>
    </x:row>
    <x:row r="132" ht="15" hidden="0" customHeight="1">
      <x:c r="A132" s="48" t="str">
        <x:f>IF(Fixtures!A132="","",IF(COUNTIFS('Result Review'!$D$5:$D$204,Fixtures!A132,'Result Review'!$R$5:$R$204,"Approved Current")=1,Fixtures!A132,""))</x:f>
      </x:c>
      <x:c r="B132" s="38" t="str">
        <x:f>IF($A132="","",XLOOKUP($A132,Fixtures!$A$5:$A$204,Fixtures!$B$5:$B$204,""))</x:f>
      </x:c>
      <x:c r="C132" s="38" t="str">
        <x:f>IF($A132="","",XLOOKUP($A132,Fixtures!$A$5:$A$204,Fixtures!$D$5:$D$204,""))</x:f>
      </x:c>
      <x:c r="D132" s="38" t="str">
        <x:f>IF($A132="","",XLOOKUP($A132,Fixtures!$A$5:$A$204,Fixtures!$E$5:$E$204,""))</x:f>
      </x:c>
      <x:c r="E132" s="38" t="str">
        <x:f>IF($A132="","",XLOOKUP($A132,Fixtures!$A$5:$A$204,Fixtures!$F$5:$F$204,""))</x:f>
      </x:c>
      <x:c r="F132" s="38" t="str">
        <x:f>IF($A132="","",XLOOKUP($A132,Fixtures!$A$5:$A$204,Fixtures!$G$5:$G$204,""))</x:f>
      </x:c>
      <x:c r="G132" s="38" t="str">
        <x:f>IF($A132="","",IFERROR(INDEX(FILTER('Result Review'!$X$5:$X$204,'Result Review'!$D$5:$D$204=$A132,'Result Review'!$R$5:$R$204="Approved Current"),1),""))</x:f>
      </x:c>
      <x:c r="H132" s="38" t="str">
        <x:f>IF($A132="","",IFERROR(INDEX(FILTER('Result Review'!$Y$5:$Y$204,'Result Review'!$D$5:$D$204=$A132,'Result Review'!$R$5:$R$204="Approved Current"),1),""))</x:f>
      </x:c>
      <x:c r="I132" s="38" t="str">
        <x:f>IF($A132="","",IFERROR(INDEX(FILTER('Result Review'!$J$5:$J$204,'Result Review'!$D$5:$D$204=$A132,'Result Review'!$R$5:$R$204="Approved Current"),1),""))</x:f>
      </x:c>
      <x:c r="J132" s="38" t="str">
        <x:f>IF($A132="","",IFERROR(INDEX(FILTER('Result Review'!$K$5:$K$204,'Result Review'!$D$5:$D$204=$A132,'Result Review'!$R$5:$R$204="Approved Current"),1),""))</x:f>
      </x:c>
      <x:c r="K132" s="38" t="str">
        <x:f>IF($A132="","",IFERROR(INDEX(FILTER('Result Review'!$Z$5:$Z$204,'Result Review'!$D$5:$D$204=$A132,'Result Review'!$R$5:$R$204="Approved Current"),1),""))</x:f>
      </x:c>
      <x:c r="L132" s="60" t="str">
        <x:f>IF($A132="","",IFERROR(INDEX(FILTER('Result Review'!$L$5:$L$204,'Result Review'!$D$5:$D$204=$A132,'Result Review'!$R$5:$R$204="Approved Current"),1),""))</x:f>
      </x:c>
      <x:c r="M132" s="38" t="str">
        <x:f>IF($A132="","",IFERROR(INDEX(FILTER('Result Review'!$B$5:$B$204,'Result Review'!$D$5:$D$204=$A132,'Result Review'!$R$5:$R$204="Approved Current"),1),""))</x:f>
      </x:c>
      <x:c r="N132" s="38" t="str">
        <x:f>IF($A132="","","Approved Current")</x:f>
      </x:c>
      <x:c r="O132" s="49" t="str">
        <x:f>IF($A132="","","Derived from Result Review row "&amp;M132)</x:f>
      </x:c>
    </x:row>
    <x:row r="133" ht="15" hidden="0" customHeight="1">
      <x:c r="A133" s="48" t="str">
        <x:f>IF(Fixtures!A133="","",IF(COUNTIFS('Result Review'!$D$5:$D$204,Fixtures!A133,'Result Review'!$R$5:$R$204,"Approved Current")=1,Fixtures!A133,""))</x:f>
      </x:c>
      <x:c r="B133" s="38" t="str">
        <x:f>IF($A133="","",XLOOKUP($A133,Fixtures!$A$5:$A$204,Fixtures!$B$5:$B$204,""))</x:f>
      </x:c>
      <x:c r="C133" s="38" t="str">
        <x:f>IF($A133="","",XLOOKUP($A133,Fixtures!$A$5:$A$204,Fixtures!$D$5:$D$204,""))</x:f>
      </x:c>
      <x:c r="D133" s="38" t="str">
        <x:f>IF($A133="","",XLOOKUP($A133,Fixtures!$A$5:$A$204,Fixtures!$E$5:$E$204,""))</x:f>
      </x:c>
      <x:c r="E133" s="38" t="str">
        <x:f>IF($A133="","",XLOOKUP($A133,Fixtures!$A$5:$A$204,Fixtures!$F$5:$F$204,""))</x:f>
      </x:c>
      <x:c r="F133" s="38" t="str">
        <x:f>IF($A133="","",XLOOKUP($A133,Fixtures!$A$5:$A$204,Fixtures!$G$5:$G$204,""))</x:f>
      </x:c>
      <x:c r="G133" s="38" t="str">
        <x:f>IF($A133="","",IFERROR(INDEX(FILTER('Result Review'!$X$5:$X$204,'Result Review'!$D$5:$D$204=$A133,'Result Review'!$R$5:$R$204="Approved Current"),1),""))</x:f>
      </x:c>
      <x:c r="H133" s="38" t="str">
        <x:f>IF($A133="","",IFERROR(INDEX(FILTER('Result Review'!$Y$5:$Y$204,'Result Review'!$D$5:$D$204=$A133,'Result Review'!$R$5:$R$204="Approved Current"),1),""))</x:f>
      </x:c>
      <x:c r="I133" s="38" t="str">
        <x:f>IF($A133="","",IFERROR(INDEX(FILTER('Result Review'!$J$5:$J$204,'Result Review'!$D$5:$D$204=$A133,'Result Review'!$R$5:$R$204="Approved Current"),1),""))</x:f>
      </x:c>
      <x:c r="J133" s="38" t="str">
        <x:f>IF($A133="","",IFERROR(INDEX(FILTER('Result Review'!$K$5:$K$204,'Result Review'!$D$5:$D$204=$A133,'Result Review'!$R$5:$R$204="Approved Current"),1),""))</x:f>
      </x:c>
      <x:c r="K133" s="38" t="str">
        <x:f>IF($A133="","",IFERROR(INDEX(FILTER('Result Review'!$Z$5:$Z$204,'Result Review'!$D$5:$D$204=$A133,'Result Review'!$R$5:$R$204="Approved Current"),1),""))</x:f>
      </x:c>
      <x:c r="L133" s="60" t="str">
        <x:f>IF($A133="","",IFERROR(INDEX(FILTER('Result Review'!$L$5:$L$204,'Result Review'!$D$5:$D$204=$A133,'Result Review'!$R$5:$R$204="Approved Current"),1),""))</x:f>
      </x:c>
      <x:c r="M133" s="38" t="str">
        <x:f>IF($A133="","",IFERROR(INDEX(FILTER('Result Review'!$B$5:$B$204,'Result Review'!$D$5:$D$204=$A133,'Result Review'!$R$5:$R$204="Approved Current"),1),""))</x:f>
      </x:c>
      <x:c r="N133" s="38" t="str">
        <x:f>IF($A133="","","Approved Current")</x:f>
      </x:c>
      <x:c r="O133" s="49" t="str">
        <x:f>IF($A133="","","Derived from Result Review row "&amp;M133)</x:f>
      </x:c>
    </x:row>
    <x:row r="134" ht="15" hidden="0" customHeight="1">
      <x:c r="A134" s="48" t="str">
        <x:f>IF(Fixtures!A134="","",IF(COUNTIFS('Result Review'!$D$5:$D$204,Fixtures!A134,'Result Review'!$R$5:$R$204,"Approved Current")=1,Fixtures!A134,""))</x:f>
      </x:c>
      <x:c r="B134" s="38" t="str">
        <x:f>IF($A134="","",XLOOKUP($A134,Fixtures!$A$5:$A$204,Fixtures!$B$5:$B$204,""))</x:f>
      </x:c>
      <x:c r="C134" s="38" t="str">
        <x:f>IF($A134="","",XLOOKUP($A134,Fixtures!$A$5:$A$204,Fixtures!$D$5:$D$204,""))</x:f>
      </x:c>
      <x:c r="D134" s="38" t="str">
        <x:f>IF($A134="","",XLOOKUP($A134,Fixtures!$A$5:$A$204,Fixtures!$E$5:$E$204,""))</x:f>
      </x:c>
      <x:c r="E134" s="38" t="str">
        <x:f>IF($A134="","",XLOOKUP($A134,Fixtures!$A$5:$A$204,Fixtures!$F$5:$F$204,""))</x:f>
      </x:c>
      <x:c r="F134" s="38" t="str">
        <x:f>IF($A134="","",XLOOKUP($A134,Fixtures!$A$5:$A$204,Fixtures!$G$5:$G$204,""))</x:f>
      </x:c>
      <x:c r="G134" s="38" t="str">
        <x:f>IF($A134="","",IFERROR(INDEX(FILTER('Result Review'!$X$5:$X$204,'Result Review'!$D$5:$D$204=$A134,'Result Review'!$R$5:$R$204="Approved Current"),1),""))</x:f>
      </x:c>
      <x:c r="H134" s="38" t="str">
        <x:f>IF($A134="","",IFERROR(INDEX(FILTER('Result Review'!$Y$5:$Y$204,'Result Review'!$D$5:$D$204=$A134,'Result Review'!$R$5:$R$204="Approved Current"),1),""))</x:f>
      </x:c>
      <x:c r="I134" s="38" t="str">
        <x:f>IF($A134="","",IFERROR(INDEX(FILTER('Result Review'!$J$5:$J$204,'Result Review'!$D$5:$D$204=$A134,'Result Review'!$R$5:$R$204="Approved Current"),1),""))</x:f>
      </x:c>
      <x:c r="J134" s="38" t="str">
        <x:f>IF($A134="","",IFERROR(INDEX(FILTER('Result Review'!$K$5:$K$204,'Result Review'!$D$5:$D$204=$A134,'Result Review'!$R$5:$R$204="Approved Current"),1),""))</x:f>
      </x:c>
      <x:c r="K134" s="38" t="str">
        <x:f>IF($A134="","",IFERROR(INDEX(FILTER('Result Review'!$Z$5:$Z$204,'Result Review'!$D$5:$D$204=$A134,'Result Review'!$R$5:$R$204="Approved Current"),1),""))</x:f>
      </x:c>
      <x:c r="L134" s="60" t="str">
        <x:f>IF($A134="","",IFERROR(INDEX(FILTER('Result Review'!$L$5:$L$204,'Result Review'!$D$5:$D$204=$A134,'Result Review'!$R$5:$R$204="Approved Current"),1),""))</x:f>
      </x:c>
      <x:c r="M134" s="38" t="str">
        <x:f>IF($A134="","",IFERROR(INDEX(FILTER('Result Review'!$B$5:$B$204,'Result Review'!$D$5:$D$204=$A134,'Result Review'!$R$5:$R$204="Approved Current"),1),""))</x:f>
      </x:c>
      <x:c r="N134" s="38" t="str">
        <x:f>IF($A134="","","Approved Current")</x:f>
      </x:c>
      <x:c r="O134" s="49" t="str">
        <x:f>IF($A134="","","Derived from Result Review row "&amp;M134)</x:f>
      </x:c>
    </x:row>
    <x:row r="135" ht="15" hidden="0" customHeight="1">
      <x:c r="A135" s="48" t="str">
        <x:f>IF(Fixtures!A135="","",IF(COUNTIFS('Result Review'!$D$5:$D$204,Fixtures!A135,'Result Review'!$R$5:$R$204,"Approved Current")=1,Fixtures!A135,""))</x:f>
      </x:c>
      <x:c r="B135" s="38" t="str">
        <x:f>IF($A135="","",XLOOKUP($A135,Fixtures!$A$5:$A$204,Fixtures!$B$5:$B$204,""))</x:f>
      </x:c>
      <x:c r="C135" s="38" t="str">
        <x:f>IF($A135="","",XLOOKUP($A135,Fixtures!$A$5:$A$204,Fixtures!$D$5:$D$204,""))</x:f>
      </x:c>
      <x:c r="D135" s="38" t="str">
        <x:f>IF($A135="","",XLOOKUP($A135,Fixtures!$A$5:$A$204,Fixtures!$E$5:$E$204,""))</x:f>
      </x:c>
      <x:c r="E135" s="38" t="str">
        <x:f>IF($A135="","",XLOOKUP($A135,Fixtures!$A$5:$A$204,Fixtures!$F$5:$F$204,""))</x:f>
      </x:c>
      <x:c r="F135" s="38" t="str">
        <x:f>IF($A135="","",XLOOKUP($A135,Fixtures!$A$5:$A$204,Fixtures!$G$5:$G$204,""))</x:f>
      </x:c>
      <x:c r="G135" s="38" t="str">
        <x:f>IF($A135="","",IFERROR(INDEX(FILTER('Result Review'!$X$5:$X$204,'Result Review'!$D$5:$D$204=$A135,'Result Review'!$R$5:$R$204="Approved Current"),1),""))</x:f>
      </x:c>
      <x:c r="H135" s="38" t="str">
        <x:f>IF($A135="","",IFERROR(INDEX(FILTER('Result Review'!$Y$5:$Y$204,'Result Review'!$D$5:$D$204=$A135,'Result Review'!$R$5:$R$204="Approved Current"),1),""))</x:f>
      </x:c>
      <x:c r="I135" s="38" t="str">
        <x:f>IF($A135="","",IFERROR(INDEX(FILTER('Result Review'!$J$5:$J$204,'Result Review'!$D$5:$D$204=$A135,'Result Review'!$R$5:$R$204="Approved Current"),1),""))</x:f>
      </x:c>
      <x:c r="J135" s="38" t="str">
        <x:f>IF($A135="","",IFERROR(INDEX(FILTER('Result Review'!$K$5:$K$204,'Result Review'!$D$5:$D$204=$A135,'Result Review'!$R$5:$R$204="Approved Current"),1),""))</x:f>
      </x:c>
      <x:c r="K135" s="38" t="str">
        <x:f>IF($A135="","",IFERROR(INDEX(FILTER('Result Review'!$Z$5:$Z$204,'Result Review'!$D$5:$D$204=$A135,'Result Review'!$R$5:$R$204="Approved Current"),1),""))</x:f>
      </x:c>
      <x:c r="L135" s="60" t="str">
        <x:f>IF($A135="","",IFERROR(INDEX(FILTER('Result Review'!$L$5:$L$204,'Result Review'!$D$5:$D$204=$A135,'Result Review'!$R$5:$R$204="Approved Current"),1),""))</x:f>
      </x:c>
      <x:c r="M135" s="38" t="str">
        <x:f>IF($A135="","",IFERROR(INDEX(FILTER('Result Review'!$B$5:$B$204,'Result Review'!$D$5:$D$204=$A135,'Result Review'!$R$5:$R$204="Approved Current"),1),""))</x:f>
      </x:c>
      <x:c r="N135" s="38" t="str">
        <x:f>IF($A135="","","Approved Current")</x:f>
      </x:c>
      <x:c r="O135" s="49" t="str">
        <x:f>IF($A135="","","Derived from Result Review row "&amp;M135)</x:f>
      </x:c>
    </x:row>
    <x:row r="136" ht="15" hidden="0" customHeight="1">
      <x:c r="A136" s="48" t="str">
        <x:f>IF(Fixtures!A136="","",IF(COUNTIFS('Result Review'!$D$5:$D$204,Fixtures!A136,'Result Review'!$R$5:$R$204,"Approved Current")=1,Fixtures!A136,""))</x:f>
      </x:c>
      <x:c r="B136" s="38" t="str">
        <x:f>IF($A136="","",XLOOKUP($A136,Fixtures!$A$5:$A$204,Fixtures!$B$5:$B$204,""))</x:f>
      </x:c>
      <x:c r="C136" s="38" t="str">
        <x:f>IF($A136="","",XLOOKUP($A136,Fixtures!$A$5:$A$204,Fixtures!$D$5:$D$204,""))</x:f>
      </x:c>
      <x:c r="D136" s="38" t="str">
        <x:f>IF($A136="","",XLOOKUP($A136,Fixtures!$A$5:$A$204,Fixtures!$E$5:$E$204,""))</x:f>
      </x:c>
      <x:c r="E136" s="38" t="str">
        <x:f>IF($A136="","",XLOOKUP($A136,Fixtures!$A$5:$A$204,Fixtures!$F$5:$F$204,""))</x:f>
      </x:c>
      <x:c r="F136" s="38" t="str">
        <x:f>IF($A136="","",XLOOKUP($A136,Fixtures!$A$5:$A$204,Fixtures!$G$5:$G$204,""))</x:f>
      </x:c>
      <x:c r="G136" s="38" t="str">
        <x:f>IF($A136="","",IFERROR(INDEX(FILTER('Result Review'!$X$5:$X$204,'Result Review'!$D$5:$D$204=$A136,'Result Review'!$R$5:$R$204="Approved Current"),1),""))</x:f>
      </x:c>
      <x:c r="H136" s="38" t="str">
        <x:f>IF($A136="","",IFERROR(INDEX(FILTER('Result Review'!$Y$5:$Y$204,'Result Review'!$D$5:$D$204=$A136,'Result Review'!$R$5:$R$204="Approved Current"),1),""))</x:f>
      </x:c>
      <x:c r="I136" s="38" t="str">
        <x:f>IF($A136="","",IFERROR(INDEX(FILTER('Result Review'!$J$5:$J$204,'Result Review'!$D$5:$D$204=$A136,'Result Review'!$R$5:$R$204="Approved Current"),1),""))</x:f>
      </x:c>
      <x:c r="J136" s="38" t="str">
        <x:f>IF($A136="","",IFERROR(INDEX(FILTER('Result Review'!$K$5:$K$204,'Result Review'!$D$5:$D$204=$A136,'Result Review'!$R$5:$R$204="Approved Current"),1),""))</x:f>
      </x:c>
      <x:c r="K136" s="38" t="str">
        <x:f>IF($A136="","",IFERROR(INDEX(FILTER('Result Review'!$Z$5:$Z$204,'Result Review'!$D$5:$D$204=$A136,'Result Review'!$R$5:$R$204="Approved Current"),1),""))</x:f>
      </x:c>
      <x:c r="L136" s="60" t="str">
        <x:f>IF($A136="","",IFERROR(INDEX(FILTER('Result Review'!$L$5:$L$204,'Result Review'!$D$5:$D$204=$A136,'Result Review'!$R$5:$R$204="Approved Current"),1),""))</x:f>
      </x:c>
      <x:c r="M136" s="38" t="str">
        <x:f>IF($A136="","",IFERROR(INDEX(FILTER('Result Review'!$B$5:$B$204,'Result Review'!$D$5:$D$204=$A136,'Result Review'!$R$5:$R$204="Approved Current"),1),""))</x:f>
      </x:c>
      <x:c r="N136" s="38" t="str">
        <x:f>IF($A136="","","Approved Current")</x:f>
      </x:c>
      <x:c r="O136" s="49" t="str">
        <x:f>IF($A136="","","Derived from Result Review row "&amp;M136)</x:f>
      </x:c>
    </x:row>
    <x:row r="137" ht="15" hidden="0" customHeight="1">
      <x:c r="A137" s="48" t="str">
        <x:f>IF(Fixtures!A137="","",IF(COUNTIFS('Result Review'!$D$5:$D$204,Fixtures!A137,'Result Review'!$R$5:$R$204,"Approved Current")=1,Fixtures!A137,""))</x:f>
      </x:c>
      <x:c r="B137" s="38" t="str">
        <x:f>IF($A137="","",XLOOKUP($A137,Fixtures!$A$5:$A$204,Fixtures!$B$5:$B$204,""))</x:f>
      </x:c>
      <x:c r="C137" s="38" t="str">
        <x:f>IF($A137="","",XLOOKUP($A137,Fixtures!$A$5:$A$204,Fixtures!$D$5:$D$204,""))</x:f>
      </x:c>
      <x:c r="D137" s="38" t="str">
        <x:f>IF($A137="","",XLOOKUP($A137,Fixtures!$A$5:$A$204,Fixtures!$E$5:$E$204,""))</x:f>
      </x:c>
      <x:c r="E137" s="38" t="str">
        <x:f>IF($A137="","",XLOOKUP($A137,Fixtures!$A$5:$A$204,Fixtures!$F$5:$F$204,""))</x:f>
      </x:c>
      <x:c r="F137" s="38" t="str">
        <x:f>IF($A137="","",XLOOKUP($A137,Fixtures!$A$5:$A$204,Fixtures!$G$5:$G$204,""))</x:f>
      </x:c>
      <x:c r="G137" s="38" t="str">
        <x:f>IF($A137="","",IFERROR(INDEX(FILTER('Result Review'!$X$5:$X$204,'Result Review'!$D$5:$D$204=$A137,'Result Review'!$R$5:$R$204="Approved Current"),1),""))</x:f>
      </x:c>
      <x:c r="H137" s="38" t="str">
        <x:f>IF($A137="","",IFERROR(INDEX(FILTER('Result Review'!$Y$5:$Y$204,'Result Review'!$D$5:$D$204=$A137,'Result Review'!$R$5:$R$204="Approved Current"),1),""))</x:f>
      </x:c>
      <x:c r="I137" s="38" t="str">
        <x:f>IF($A137="","",IFERROR(INDEX(FILTER('Result Review'!$J$5:$J$204,'Result Review'!$D$5:$D$204=$A137,'Result Review'!$R$5:$R$204="Approved Current"),1),""))</x:f>
      </x:c>
      <x:c r="J137" s="38" t="str">
        <x:f>IF($A137="","",IFERROR(INDEX(FILTER('Result Review'!$K$5:$K$204,'Result Review'!$D$5:$D$204=$A137,'Result Review'!$R$5:$R$204="Approved Current"),1),""))</x:f>
      </x:c>
      <x:c r="K137" s="38" t="str">
        <x:f>IF($A137="","",IFERROR(INDEX(FILTER('Result Review'!$Z$5:$Z$204,'Result Review'!$D$5:$D$204=$A137,'Result Review'!$R$5:$R$204="Approved Current"),1),""))</x:f>
      </x:c>
      <x:c r="L137" s="60" t="str">
        <x:f>IF($A137="","",IFERROR(INDEX(FILTER('Result Review'!$L$5:$L$204,'Result Review'!$D$5:$D$204=$A137,'Result Review'!$R$5:$R$204="Approved Current"),1),""))</x:f>
      </x:c>
      <x:c r="M137" s="38" t="str">
        <x:f>IF($A137="","",IFERROR(INDEX(FILTER('Result Review'!$B$5:$B$204,'Result Review'!$D$5:$D$204=$A137,'Result Review'!$R$5:$R$204="Approved Current"),1),""))</x:f>
      </x:c>
      <x:c r="N137" s="38" t="str">
        <x:f>IF($A137="","","Approved Current")</x:f>
      </x:c>
      <x:c r="O137" s="49" t="str">
        <x:f>IF($A137="","","Derived from Result Review row "&amp;M137)</x:f>
      </x:c>
    </x:row>
    <x:row r="138" ht="15" hidden="0" customHeight="1">
      <x:c r="A138" s="48" t="str">
        <x:f>IF(Fixtures!A138="","",IF(COUNTIFS('Result Review'!$D$5:$D$204,Fixtures!A138,'Result Review'!$R$5:$R$204,"Approved Current")=1,Fixtures!A138,""))</x:f>
      </x:c>
      <x:c r="B138" s="38" t="str">
        <x:f>IF($A138="","",XLOOKUP($A138,Fixtures!$A$5:$A$204,Fixtures!$B$5:$B$204,""))</x:f>
      </x:c>
      <x:c r="C138" s="38" t="str">
        <x:f>IF($A138="","",XLOOKUP($A138,Fixtures!$A$5:$A$204,Fixtures!$D$5:$D$204,""))</x:f>
      </x:c>
      <x:c r="D138" s="38" t="str">
        <x:f>IF($A138="","",XLOOKUP($A138,Fixtures!$A$5:$A$204,Fixtures!$E$5:$E$204,""))</x:f>
      </x:c>
      <x:c r="E138" s="38" t="str">
        <x:f>IF($A138="","",XLOOKUP($A138,Fixtures!$A$5:$A$204,Fixtures!$F$5:$F$204,""))</x:f>
      </x:c>
      <x:c r="F138" s="38" t="str">
        <x:f>IF($A138="","",XLOOKUP($A138,Fixtures!$A$5:$A$204,Fixtures!$G$5:$G$204,""))</x:f>
      </x:c>
      <x:c r="G138" s="38" t="str">
        <x:f>IF($A138="","",IFERROR(INDEX(FILTER('Result Review'!$X$5:$X$204,'Result Review'!$D$5:$D$204=$A138,'Result Review'!$R$5:$R$204="Approved Current"),1),""))</x:f>
      </x:c>
      <x:c r="H138" s="38" t="str">
        <x:f>IF($A138="","",IFERROR(INDEX(FILTER('Result Review'!$Y$5:$Y$204,'Result Review'!$D$5:$D$204=$A138,'Result Review'!$R$5:$R$204="Approved Current"),1),""))</x:f>
      </x:c>
      <x:c r="I138" s="38" t="str">
        <x:f>IF($A138="","",IFERROR(INDEX(FILTER('Result Review'!$J$5:$J$204,'Result Review'!$D$5:$D$204=$A138,'Result Review'!$R$5:$R$204="Approved Current"),1),""))</x:f>
      </x:c>
      <x:c r="J138" s="38" t="str">
        <x:f>IF($A138="","",IFERROR(INDEX(FILTER('Result Review'!$K$5:$K$204,'Result Review'!$D$5:$D$204=$A138,'Result Review'!$R$5:$R$204="Approved Current"),1),""))</x:f>
      </x:c>
      <x:c r="K138" s="38" t="str">
        <x:f>IF($A138="","",IFERROR(INDEX(FILTER('Result Review'!$Z$5:$Z$204,'Result Review'!$D$5:$D$204=$A138,'Result Review'!$R$5:$R$204="Approved Current"),1),""))</x:f>
      </x:c>
      <x:c r="L138" s="60" t="str">
        <x:f>IF($A138="","",IFERROR(INDEX(FILTER('Result Review'!$L$5:$L$204,'Result Review'!$D$5:$D$204=$A138,'Result Review'!$R$5:$R$204="Approved Current"),1),""))</x:f>
      </x:c>
      <x:c r="M138" s="38" t="str">
        <x:f>IF($A138="","",IFERROR(INDEX(FILTER('Result Review'!$B$5:$B$204,'Result Review'!$D$5:$D$204=$A138,'Result Review'!$R$5:$R$204="Approved Current"),1),""))</x:f>
      </x:c>
      <x:c r="N138" s="38" t="str">
        <x:f>IF($A138="","","Approved Current")</x:f>
      </x:c>
      <x:c r="O138" s="49" t="str">
        <x:f>IF($A138="","","Derived from Result Review row "&amp;M138)</x:f>
      </x:c>
    </x:row>
    <x:row r="139" ht="15" hidden="0" customHeight="1">
      <x:c r="A139" s="48" t="str">
        <x:f>IF(Fixtures!A139="","",IF(COUNTIFS('Result Review'!$D$5:$D$204,Fixtures!A139,'Result Review'!$R$5:$R$204,"Approved Current")=1,Fixtures!A139,""))</x:f>
      </x:c>
      <x:c r="B139" s="38" t="str">
        <x:f>IF($A139="","",XLOOKUP($A139,Fixtures!$A$5:$A$204,Fixtures!$B$5:$B$204,""))</x:f>
      </x:c>
      <x:c r="C139" s="38" t="str">
        <x:f>IF($A139="","",XLOOKUP($A139,Fixtures!$A$5:$A$204,Fixtures!$D$5:$D$204,""))</x:f>
      </x:c>
      <x:c r="D139" s="38" t="str">
        <x:f>IF($A139="","",XLOOKUP($A139,Fixtures!$A$5:$A$204,Fixtures!$E$5:$E$204,""))</x:f>
      </x:c>
      <x:c r="E139" s="38" t="str">
        <x:f>IF($A139="","",XLOOKUP($A139,Fixtures!$A$5:$A$204,Fixtures!$F$5:$F$204,""))</x:f>
      </x:c>
      <x:c r="F139" s="38" t="str">
        <x:f>IF($A139="","",XLOOKUP($A139,Fixtures!$A$5:$A$204,Fixtures!$G$5:$G$204,""))</x:f>
      </x:c>
      <x:c r="G139" s="38" t="str">
        <x:f>IF($A139="","",IFERROR(INDEX(FILTER('Result Review'!$X$5:$X$204,'Result Review'!$D$5:$D$204=$A139,'Result Review'!$R$5:$R$204="Approved Current"),1),""))</x:f>
      </x:c>
      <x:c r="H139" s="38" t="str">
        <x:f>IF($A139="","",IFERROR(INDEX(FILTER('Result Review'!$Y$5:$Y$204,'Result Review'!$D$5:$D$204=$A139,'Result Review'!$R$5:$R$204="Approved Current"),1),""))</x:f>
      </x:c>
      <x:c r="I139" s="38" t="str">
        <x:f>IF($A139="","",IFERROR(INDEX(FILTER('Result Review'!$J$5:$J$204,'Result Review'!$D$5:$D$204=$A139,'Result Review'!$R$5:$R$204="Approved Current"),1),""))</x:f>
      </x:c>
      <x:c r="J139" s="38" t="str">
        <x:f>IF($A139="","",IFERROR(INDEX(FILTER('Result Review'!$K$5:$K$204,'Result Review'!$D$5:$D$204=$A139,'Result Review'!$R$5:$R$204="Approved Current"),1),""))</x:f>
      </x:c>
      <x:c r="K139" s="38" t="str">
        <x:f>IF($A139="","",IFERROR(INDEX(FILTER('Result Review'!$Z$5:$Z$204,'Result Review'!$D$5:$D$204=$A139,'Result Review'!$R$5:$R$204="Approved Current"),1),""))</x:f>
      </x:c>
      <x:c r="L139" s="60" t="str">
        <x:f>IF($A139="","",IFERROR(INDEX(FILTER('Result Review'!$L$5:$L$204,'Result Review'!$D$5:$D$204=$A139,'Result Review'!$R$5:$R$204="Approved Current"),1),""))</x:f>
      </x:c>
      <x:c r="M139" s="38" t="str">
        <x:f>IF($A139="","",IFERROR(INDEX(FILTER('Result Review'!$B$5:$B$204,'Result Review'!$D$5:$D$204=$A139,'Result Review'!$R$5:$R$204="Approved Current"),1),""))</x:f>
      </x:c>
      <x:c r="N139" s="38" t="str">
        <x:f>IF($A139="","","Approved Current")</x:f>
      </x:c>
      <x:c r="O139" s="49" t="str">
        <x:f>IF($A139="","","Derived from Result Review row "&amp;M139)</x:f>
      </x:c>
    </x:row>
    <x:row r="140" ht="15" hidden="0" customHeight="1">
      <x:c r="A140" s="48" t="str">
        <x:f>IF(Fixtures!A140="","",IF(COUNTIFS('Result Review'!$D$5:$D$204,Fixtures!A140,'Result Review'!$R$5:$R$204,"Approved Current")=1,Fixtures!A140,""))</x:f>
      </x:c>
      <x:c r="B140" s="38" t="str">
        <x:f>IF($A140="","",XLOOKUP($A140,Fixtures!$A$5:$A$204,Fixtures!$B$5:$B$204,""))</x:f>
      </x:c>
      <x:c r="C140" s="38" t="str">
        <x:f>IF($A140="","",XLOOKUP($A140,Fixtures!$A$5:$A$204,Fixtures!$D$5:$D$204,""))</x:f>
      </x:c>
      <x:c r="D140" s="38" t="str">
        <x:f>IF($A140="","",XLOOKUP($A140,Fixtures!$A$5:$A$204,Fixtures!$E$5:$E$204,""))</x:f>
      </x:c>
      <x:c r="E140" s="38" t="str">
        <x:f>IF($A140="","",XLOOKUP($A140,Fixtures!$A$5:$A$204,Fixtures!$F$5:$F$204,""))</x:f>
      </x:c>
      <x:c r="F140" s="38" t="str">
        <x:f>IF($A140="","",XLOOKUP($A140,Fixtures!$A$5:$A$204,Fixtures!$G$5:$G$204,""))</x:f>
      </x:c>
      <x:c r="G140" s="38" t="str">
        <x:f>IF($A140="","",IFERROR(INDEX(FILTER('Result Review'!$X$5:$X$204,'Result Review'!$D$5:$D$204=$A140,'Result Review'!$R$5:$R$204="Approved Current"),1),""))</x:f>
      </x:c>
      <x:c r="H140" s="38" t="str">
        <x:f>IF($A140="","",IFERROR(INDEX(FILTER('Result Review'!$Y$5:$Y$204,'Result Review'!$D$5:$D$204=$A140,'Result Review'!$R$5:$R$204="Approved Current"),1),""))</x:f>
      </x:c>
      <x:c r="I140" s="38" t="str">
        <x:f>IF($A140="","",IFERROR(INDEX(FILTER('Result Review'!$J$5:$J$204,'Result Review'!$D$5:$D$204=$A140,'Result Review'!$R$5:$R$204="Approved Current"),1),""))</x:f>
      </x:c>
      <x:c r="J140" s="38" t="str">
        <x:f>IF($A140="","",IFERROR(INDEX(FILTER('Result Review'!$K$5:$K$204,'Result Review'!$D$5:$D$204=$A140,'Result Review'!$R$5:$R$204="Approved Current"),1),""))</x:f>
      </x:c>
      <x:c r="K140" s="38" t="str">
        <x:f>IF($A140="","",IFERROR(INDEX(FILTER('Result Review'!$Z$5:$Z$204,'Result Review'!$D$5:$D$204=$A140,'Result Review'!$R$5:$R$204="Approved Current"),1),""))</x:f>
      </x:c>
      <x:c r="L140" s="60" t="str">
        <x:f>IF($A140="","",IFERROR(INDEX(FILTER('Result Review'!$L$5:$L$204,'Result Review'!$D$5:$D$204=$A140,'Result Review'!$R$5:$R$204="Approved Current"),1),""))</x:f>
      </x:c>
      <x:c r="M140" s="38" t="str">
        <x:f>IF($A140="","",IFERROR(INDEX(FILTER('Result Review'!$B$5:$B$204,'Result Review'!$D$5:$D$204=$A140,'Result Review'!$R$5:$R$204="Approved Current"),1),""))</x:f>
      </x:c>
      <x:c r="N140" s="38" t="str">
        <x:f>IF($A140="","","Approved Current")</x:f>
      </x:c>
      <x:c r="O140" s="49" t="str">
        <x:f>IF($A140="","","Derived from Result Review row "&amp;M140)</x:f>
      </x:c>
    </x:row>
    <x:row r="141" ht="15" hidden="0" customHeight="1">
      <x:c r="A141" s="48" t="str">
        <x:f>IF(Fixtures!A141="","",IF(COUNTIFS('Result Review'!$D$5:$D$204,Fixtures!A141,'Result Review'!$R$5:$R$204,"Approved Current")=1,Fixtures!A141,""))</x:f>
      </x:c>
      <x:c r="B141" s="38" t="str">
        <x:f>IF($A141="","",XLOOKUP($A141,Fixtures!$A$5:$A$204,Fixtures!$B$5:$B$204,""))</x:f>
      </x:c>
      <x:c r="C141" s="38" t="str">
        <x:f>IF($A141="","",XLOOKUP($A141,Fixtures!$A$5:$A$204,Fixtures!$D$5:$D$204,""))</x:f>
      </x:c>
      <x:c r="D141" s="38" t="str">
        <x:f>IF($A141="","",XLOOKUP($A141,Fixtures!$A$5:$A$204,Fixtures!$E$5:$E$204,""))</x:f>
      </x:c>
      <x:c r="E141" s="38" t="str">
        <x:f>IF($A141="","",XLOOKUP($A141,Fixtures!$A$5:$A$204,Fixtures!$F$5:$F$204,""))</x:f>
      </x:c>
      <x:c r="F141" s="38" t="str">
        <x:f>IF($A141="","",XLOOKUP($A141,Fixtures!$A$5:$A$204,Fixtures!$G$5:$G$204,""))</x:f>
      </x:c>
      <x:c r="G141" s="38" t="str">
        <x:f>IF($A141="","",IFERROR(INDEX(FILTER('Result Review'!$X$5:$X$204,'Result Review'!$D$5:$D$204=$A141,'Result Review'!$R$5:$R$204="Approved Current"),1),""))</x:f>
      </x:c>
      <x:c r="H141" s="38" t="str">
        <x:f>IF($A141="","",IFERROR(INDEX(FILTER('Result Review'!$Y$5:$Y$204,'Result Review'!$D$5:$D$204=$A141,'Result Review'!$R$5:$R$204="Approved Current"),1),""))</x:f>
      </x:c>
      <x:c r="I141" s="38" t="str">
        <x:f>IF($A141="","",IFERROR(INDEX(FILTER('Result Review'!$J$5:$J$204,'Result Review'!$D$5:$D$204=$A141,'Result Review'!$R$5:$R$204="Approved Current"),1),""))</x:f>
      </x:c>
      <x:c r="J141" s="38" t="str">
        <x:f>IF($A141="","",IFERROR(INDEX(FILTER('Result Review'!$K$5:$K$204,'Result Review'!$D$5:$D$204=$A141,'Result Review'!$R$5:$R$204="Approved Current"),1),""))</x:f>
      </x:c>
      <x:c r="K141" s="38" t="str">
        <x:f>IF($A141="","",IFERROR(INDEX(FILTER('Result Review'!$Z$5:$Z$204,'Result Review'!$D$5:$D$204=$A141,'Result Review'!$R$5:$R$204="Approved Current"),1),""))</x:f>
      </x:c>
      <x:c r="L141" s="60" t="str">
        <x:f>IF($A141="","",IFERROR(INDEX(FILTER('Result Review'!$L$5:$L$204,'Result Review'!$D$5:$D$204=$A141,'Result Review'!$R$5:$R$204="Approved Current"),1),""))</x:f>
      </x:c>
      <x:c r="M141" s="38" t="str">
        <x:f>IF($A141="","",IFERROR(INDEX(FILTER('Result Review'!$B$5:$B$204,'Result Review'!$D$5:$D$204=$A141,'Result Review'!$R$5:$R$204="Approved Current"),1),""))</x:f>
      </x:c>
      <x:c r="N141" s="38" t="str">
        <x:f>IF($A141="","","Approved Current")</x:f>
      </x:c>
      <x:c r="O141" s="49" t="str">
        <x:f>IF($A141="","","Derived from Result Review row "&amp;M141)</x:f>
      </x:c>
    </x:row>
    <x:row r="142" ht="15" hidden="0" customHeight="1">
      <x:c r="A142" s="48" t="str">
        <x:f>IF(Fixtures!A142="","",IF(COUNTIFS('Result Review'!$D$5:$D$204,Fixtures!A142,'Result Review'!$R$5:$R$204,"Approved Current")=1,Fixtures!A142,""))</x:f>
      </x:c>
      <x:c r="B142" s="38" t="str">
        <x:f>IF($A142="","",XLOOKUP($A142,Fixtures!$A$5:$A$204,Fixtures!$B$5:$B$204,""))</x:f>
      </x:c>
      <x:c r="C142" s="38" t="str">
        <x:f>IF($A142="","",XLOOKUP($A142,Fixtures!$A$5:$A$204,Fixtures!$D$5:$D$204,""))</x:f>
      </x:c>
      <x:c r="D142" s="38" t="str">
        <x:f>IF($A142="","",XLOOKUP($A142,Fixtures!$A$5:$A$204,Fixtures!$E$5:$E$204,""))</x:f>
      </x:c>
      <x:c r="E142" s="38" t="str">
        <x:f>IF($A142="","",XLOOKUP($A142,Fixtures!$A$5:$A$204,Fixtures!$F$5:$F$204,""))</x:f>
      </x:c>
      <x:c r="F142" s="38" t="str">
        <x:f>IF($A142="","",XLOOKUP($A142,Fixtures!$A$5:$A$204,Fixtures!$G$5:$G$204,""))</x:f>
      </x:c>
      <x:c r="G142" s="38" t="str">
        <x:f>IF($A142="","",IFERROR(INDEX(FILTER('Result Review'!$X$5:$X$204,'Result Review'!$D$5:$D$204=$A142,'Result Review'!$R$5:$R$204="Approved Current"),1),""))</x:f>
      </x:c>
      <x:c r="H142" s="38" t="str">
        <x:f>IF($A142="","",IFERROR(INDEX(FILTER('Result Review'!$Y$5:$Y$204,'Result Review'!$D$5:$D$204=$A142,'Result Review'!$R$5:$R$204="Approved Current"),1),""))</x:f>
      </x:c>
      <x:c r="I142" s="38" t="str">
        <x:f>IF($A142="","",IFERROR(INDEX(FILTER('Result Review'!$J$5:$J$204,'Result Review'!$D$5:$D$204=$A142,'Result Review'!$R$5:$R$204="Approved Current"),1),""))</x:f>
      </x:c>
      <x:c r="J142" s="38" t="str">
        <x:f>IF($A142="","",IFERROR(INDEX(FILTER('Result Review'!$K$5:$K$204,'Result Review'!$D$5:$D$204=$A142,'Result Review'!$R$5:$R$204="Approved Current"),1),""))</x:f>
      </x:c>
      <x:c r="K142" s="38" t="str">
        <x:f>IF($A142="","",IFERROR(INDEX(FILTER('Result Review'!$Z$5:$Z$204,'Result Review'!$D$5:$D$204=$A142,'Result Review'!$R$5:$R$204="Approved Current"),1),""))</x:f>
      </x:c>
      <x:c r="L142" s="60" t="str">
        <x:f>IF($A142="","",IFERROR(INDEX(FILTER('Result Review'!$L$5:$L$204,'Result Review'!$D$5:$D$204=$A142,'Result Review'!$R$5:$R$204="Approved Current"),1),""))</x:f>
      </x:c>
      <x:c r="M142" s="38" t="str">
        <x:f>IF($A142="","",IFERROR(INDEX(FILTER('Result Review'!$B$5:$B$204,'Result Review'!$D$5:$D$204=$A142,'Result Review'!$R$5:$R$204="Approved Current"),1),""))</x:f>
      </x:c>
      <x:c r="N142" s="38" t="str">
        <x:f>IF($A142="","","Approved Current")</x:f>
      </x:c>
      <x:c r="O142" s="49" t="str">
        <x:f>IF($A142="","","Derived from Result Review row "&amp;M142)</x:f>
      </x:c>
    </x:row>
    <x:row r="143" ht="15" hidden="0" customHeight="1">
      <x:c r="A143" s="48" t="str">
        <x:f>IF(Fixtures!A143="","",IF(COUNTIFS('Result Review'!$D$5:$D$204,Fixtures!A143,'Result Review'!$R$5:$R$204,"Approved Current")=1,Fixtures!A143,""))</x:f>
      </x:c>
      <x:c r="B143" s="38" t="str">
        <x:f>IF($A143="","",XLOOKUP($A143,Fixtures!$A$5:$A$204,Fixtures!$B$5:$B$204,""))</x:f>
      </x:c>
      <x:c r="C143" s="38" t="str">
        <x:f>IF($A143="","",XLOOKUP($A143,Fixtures!$A$5:$A$204,Fixtures!$D$5:$D$204,""))</x:f>
      </x:c>
      <x:c r="D143" s="38" t="str">
        <x:f>IF($A143="","",XLOOKUP($A143,Fixtures!$A$5:$A$204,Fixtures!$E$5:$E$204,""))</x:f>
      </x:c>
      <x:c r="E143" s="38" t="str">
        <x:f>IF($A143="","",XLOOKUP($A143,Fixtures!$A$5:$A$204,Fixtures!$F$5:$F$204,""))</x:f>
      </x:c>
      <x:c r="F143" s="38" t="str">
        <x:f>IF($A143="","",XLOOKUP($A143,Fixtures!$A$5:$A$204,Fixtures!$G$5:$G$204,""))</x:f>
      </x:c>
      <x:c r="G143" s="38" t="str">
        <x:f>IF($A143="","",IFERROR(INDEX(FILTER('Result Review'!$X$5:$X$204,'Result Review'!$D$5:$D$204=$A143,'Result Review'!$R$5:$R$204="Approved Current"),1),""))</x:f>
      </x:c>
      <x:c r="H143" s="38" t="str">
        <x:f>IF($A143="","",IFERROR(INDEX(FILTER('Result Review'!$Y$5:$Y$204,'Result Review'!$D$5:$D$204=$A143,'Result Review'!$R$5:$R$204="Approved Current"),1),""))</x:f>
      </x:c>
      <x:c r="I143" s="38" t="str">
        <x:f>IF($A143="","",IFERROR(INDEX(FILTER('Result Review'!$J$5:$J$204,'Result Review'!$D$5:$D$204=$A143,'Result Review'!$R$5:$R$204="Approved Current"),1),""))</x:f>
      </x:c>
      <x:c r="J143" s="38" t="str">
        <x:f>IF($A143="","",IFERROR(INDEX(FILTER('Result Review'!$K$5:$K$204,'Result Review'!$D$5:$D$204=$A143,'Result Review'!$R$5:$R$204="Approved Current"),1),""))</x:f>
      </x:c>
      <x:c r="K143" s="38" t="str">
        <x:f>IF($A143="","",IFERROR(INDEX(FILTER('Result Review'!$Z$5:$Z$204,'Result Review'!$D$5:$D$204=$A143,'Result Review'!$R$5:$R$204="Approved Current"),1),""))</x:f>
      </x:c>
      <x:c r="L143" s="60" t="str">
        <x:f>IF($A143="","",IFERROR(INDEX(FILTER('Result Review'!$L$5:$L$204,'Result Review'!$D$5:$D$204=$A143,'Result Review'!$R$5:$R$204="Approved Current"),1),""))</x:f>
      </x:c>
      <x:c r="M143" s="38" t="str">
        <x:f>IF($A143="","",IFERROR(INDEX(FILTER('Result Review'!$B$5:$B$204,'Result Review'!$D$5:$D$204=$A143,'Result Review'!$R$5:$R$204="Approved Current"),1),""))</x:f>
      </x:c>
      <x:c r="N143" s="38" t="str">
        <x:f>IF($A143="","","Approved Current")</x:f>
      </x:c>
      <x:c r="O143" s="49" t="str">
        <x:f>IF($A143="","","Derived from Result Review row "&amp;M143)</x:f>
      </x:c>
    </x:row>
    <x:row r="144" ht="15" hidden="0" customHeight="1">
      <x:c r="A144" s="48" t="str">
        <x:f>IF(Fixtures!A144="","",IF(COUNTIFS('Result Review'!$D$5:$D$204,Fixtures!A144,'Result Review'!$R$5:$R$204,"Approved Current")=1,Fixtures!A144,""))</x:f>
      </x:c>
      <x:c r="B144" s="38" t="str">
        <x:f>IF($A144="","",XLOOKUP($A144,Fixtures!$A$5:$A$204,Fixtures!$B$5:$B$204,""))</x:f>
      </x:c>
      <x:c r="C144" s="38" t="str">
        <x:f>IF($A144="","",XLOOKUP($A144,Fixtures!$A$5:$A$204,Fixtures!$D$5:$D$204,""))</x:f>
      </x:c>
      <x:c r="D144" s="38" t="str">
        <x:f>IF($A144="","",XLOOKUP($A144,Fixtures!$A$5:$A$204,Fixtures!$E$5:$E$204,""))</x:f>
      </x:c>
      <x:c r="E144" s="38" t="str">
        <x:f>IF($A144="","",XLOOKUP($A144,Fixtures!$A$5:$A$204,Fixtures!$F$5:$F$204,""))</x:f>
      </x:c>
      <x:c r="F144" s="38" t="str">
        <x:f>IF($A144="","",XLOOKUP($A144,Fixtures!$A$5:$A$204,Fixtures!$G$5:$G$204,""))</x:f>
      </x:c>
      <x:c r="G144" s="38" t="str">
        <x:f>IF($A144="","",IFERROR(INDEX(FILTER('Result Review'!$X$5:$X$204,'Result Review'!$D$5:$D$204=$A144,'Result Review'!$R$5:$R$204="Approved Current"),1),""))</x:f>
      </x:c>
      <x:c r="H144" s="38" t="str">
        <x:f>IF($A144="","",IFERROR(INDEX(FILTER('Result Review'!$Y$5:$Y$204,'Result Review'!$D$5:$D$204=$A144,'Result Review'!$R$5:$R$204="Approved Current"),1),""))</x:f>
      </x:c>
      <x:c r="I144" s="38" t="str">
        <x:f>IF($A144="","",IFERROR(INDEX(FILTER('Result Review'!$J$5:$J$204,'Result Review'!$D$5:$D$204=$A144,'Result Review'!$R$5:$R$204="Approved Current"),1),""))</x:f>
      </x:c>
      <x:c r="J144" s="38" t="str">
        <x:f>IF($A144="","",IFERROR(INDEX(FILTER('Result Review'!$K$5:$K$204,'Result Review'!$D$5:$D$204=$A144,'Result Review'!$R$5:$R$204="Approved Current"),1),""))</x:f>
      </x:c>
      <x:c r="K144" s="38" t="str">
        <x:f>IF($A144="","",IFERROR(INDEX(FILTER('Result Review'!$Z$5:$Z$204,'Result Review'!$D$5:$D$204=$A144,'Result Review'!$R$5:$R$204="Approved Current"),1),""))</x:f>
      </x:c>
      <x:c r="L144" s="60" t="str">
        <x:f>IF($A144="","",IFERROR(INDEX(FILTER('Result Review'!$L$5:$L$204,'Result Review'!$D$5:$D$204=$A144,'Result Review'!$R$5:$R$204="Approved Current"),1),""))</x:f>
      </x:c>
      <x:c r="M144" s="38" t="str">
        <x:f>IF($A144="","",IFERROR(INDEX(FILTER('Result Review'!$B$5:$B$204,'Result Review'!$D$5:$D$204=$A144,'Result Review'!$R$5:$R$204="Approved Current"),1),""))</x:f>
      </x:c>
      <x:c r="N144" s="38" t="str">
        <x:f>IF($A144="","","Approved Current")</x:f>
      </x:c>
      <x:c r="O144" s="49" t="str">
        <x:f>IF($A144="","","Derived from Result Review row "&amp;M144)</x:f>
      </x:c>
    </x:row>
    <x:row r="145" ht="15" hidden="0" customHeight="1">
      <x:c r="A145" s="48" t="str">
        <x:f>IF(Fixtures!A145="","",IF(COUNTIFS('Result Review'!$D$5:$D$204,Fixtures!A145,'Result Review'!$R$5:$R$204,"Approved Current")=1,Fixtures!A145,""))</x:f>
      </x:c>
      <x:c r="B145" s="38" t="str">
        <x:f>IF($A145="","",XLOOKUP($A145,Fixtures!$A$5:$A$204,Fixtures!$B$5:$B$204,""))</x:f>
      </x:c>
      <x:c r="C145" s="38" t="str">
        <x:f>IF($A145="","",XLOOKUP($A145,Fixtures!$A$5:$A$204,Fixtures!$D$5:$D$204,""))</x:f>
      </x:c>
      <x:c r="D145" s="38" t="str">
        <x:f>IF($A145="","",XLOOKUP($A145,Fixtures!$A$5:$A$204,Fixtures!$E$5:$E$204,""))</x:f>
      </x:c>
      <x:c r="E145" s="38" t="str">
        <x:f>IF($A145="","",XLOOKUP($A145,Fixtures!$A$5:$A$204,Fixtures!$F$5:$F$204,""))</x:f>
      </x:c>
      <x:c r="F145" s="38" t="str">
        <x:f>IF($A145="","",XLOOKUP($A145,Fixtures!$A$5:$A$204,Fixtures!$G$5:$G$204,""))</x:f>
      </x:c>
      <x:c r="G145" s="38" t="str">
        <x:f>IF($A145="","",IFERROR(INDEX(FILTER('Result Review'!$X$5:$X$204,'Result Review'!$D$5:$D$204=$A145,'Result Review'!$R$5:$R$204="Approved Current"),1),""))</x:f>
      </x:c>
      <x:c r="H145" s="38" t="str">
        <x:f>IF($A145="","",IFERROR(INDEX(FILTER('Result Review'!$Y$5:$Y$204,'Result Review'!$D$5:$D$204=$A145,'Result Review'!$R$5:$R$204="Approved Current"),1),""))</x:f>
      </x:c>
      <x:c r="I145" s="38" t="str">
        <x:f>IF($A145="","",IFERROR(INDEX(FILTER('Result Review'!$J$5:$J$204,'Result Review'!$D$5:$D$204=$A145,'Result Review'!$R$5:$R$204="Approved Current"),1),""))</x:f>
      </x:c>
      <x:c r="J145" s="38" t="str">
        <x:f>IF($A145="","",IFERROR(INDEX(FILTER('Result Review'!$K$5:$K$204,'Result Review'!$D$5:$D$204=$A145,'Result Review'!$R$5:$R$204="Approved Current"),1),""))</x:f>
      </x:c>
      <x:c r="K145" s="38" t="str">
        <x:f>IF($A145="","",IFERROR(INDEX(FILTER('Result Review'!$Z$5:$Z$204,'Result Review'!$D$5:$D$204=$A145,'Result Review'!$R$5:$R$204="Approved Current"),1),""))</x:f>
      </x:c>
      <x:c r="L145" s="60" t="str">
        <x:f>IF($A145="","",IFERROR(INDEX(FILTER('Result Review'!$L$5:$L$204,'Result Review'!$D$5:$D$204=$A145,'Result Review'!$R$5:$R$204="Approved Current"),1),""))</x:f>
      </x:c>
      <x:c r="M145" s="38" t="str">
        <x:f>IF($A145="","",IFERROR(INDEX(FILTER('Result Review'!$B$5:$B$204,'Result Review'!$D$5:$D$204=$A145,'Result Review'!$R$5:$R$204="Approved Current"),1),""))</x:f>
      </x:c>
      <x:c r="N145" s="38" t="str">
        <x:f>IF($A145="","","Approved Current")</x:f>
      </x:c>
      <x:c r="O145" s="49" t="str">
        <x:f>IF($A145="","","Derived from Result Review row "&amp;M145)</x:f>
      </x:c>
    </x:row>
    <x:row r="146" ht="15" hidden="0" customHeight="1">
      <x:c r="A146" s="48" t="str">
        <x:f>IF(Fixtures!A146="","",IF(COUNTIFS('Result Review'!$D$5:$D$204,Fixtures!A146,'Result Review'!$R$5:$R$204,"Approved Current")=1,Fixtures!A146,""))</x:f>
      </x:c>
      <x:c r="B146" s="38" t="str">
        <x:f>IF($A146="","",XLOOKUP($A146,Fixtures!$A$5:$A$204,Fixtures!$B$5:$B$204,""))</x:f>
      </x:c>
      <x:c r="C146" s="38" t="str">
        <x:f>IF($A146="","",XLOOKUP($A146,Fixtures!$A$5:$A$204,Fixtures!$D$5:$D$204,""))</x:f>
      </x:c>
      <x:c r="D146" s="38" t="str">
        <x:f>IF($A146="","",XLOOKUP($A146,Fixtures!$A$5:$A$204,Fixtures!$E$5:$E$204,""))</x:f>
      </x:c>
      <x:c r="E146" s="38" t="str">
        <x:f>IF($A146="","",XLOOKUP($A146,Fixtures!$A$5:$A$204,Fixtures!$F$5:$F$204,""))</x:f>
      </x:c>
      <x:c r="F146" s="38" t="str">
        <x:f>IF($A146="","",XLOOKUP($A146,Fixtures!$A$5:$A$204,Fixtures!$G$5:$G$204,""))</x:f>
      </x:c>
      <x:c r="G146" s="38" t="str">
        <x:f>IF($A146="","",IFERROR(INDEX(FILTER('Result Review'!$X$5:$X$204,'Result Review'!$D$5:$D$204=$A146,'Result Review'!$R$5:$R$204="Approved Current"),1),""))</x:f>
      </x:c>
      <x:c r="H146" s="38" t="str">
        <x:f>IF($A146="","",IFERROR(INDEX(FILTER('Result Review'!$Y$5:$Y$204,'Result Review'!$D$5:$D$204=$A146,'Result Review'!$R$5:$R$204="Approved Current"),1),""))</x:f>
      </x:c>
      <x:c r="I146" s="38" t="str">
        <x:f>IF($A146="","",IFERROR(INDEX(FILTER('Result Review'!$J$5:$J$204,'Result Review'!$D$5:$D$204=$A146,'Result Review'!$R$5:$R$204="Approved Current"),1),""))</x:f>
      </x:c>
      <x:c r="J146" s="38" t="str">
        <x:f>IF($A146="","",IFERROR(INDEX(FILTER('Result Review'!$K$5:$K$204,'Result Review'!$D$5:$D$204=$A146,'Result Review'!$R$5:$R$204="Approved Current"),1),""))</x:f>
      </x:c>
      <x:c r="K146" s="38" t="str">
        <x:f>IF($A146="","",IFERROR(INDEX(FILTER('Result Review'!$Z$5:$Z$204,'Result Review'!$D$5:$D$204=$A146,'Result Review'!$R$5:$R$204="Approved Current"),1),""))</x:f>
      </x:c>
      <x:c r="L146" s="60" t="str">
        <x:f>IF($A146="","",IFERROR(INDEX(FILTER('Result Review'!$L$5:$L$204,'Result Review'!$D$5:$D$204=$A146,'Result Review'!$R$5:$R$204="Approved Current"),1),""))</x:f>
      </x:c>
      <x:c r="M146" s="38" t="str">
        <x:f>IF($A146="","",IFERROR(INDEX(FILTER('Result Review'!$B$5:$B$204,'Result Review'!$D$5:$D$204=$A146,'Result Review'!$R$5:$R$204="Approved Current"),1),""))</x:f>
      </x:c>
      <x:c r="N146" s="38" t="str">
        <x:f>IF($A146="","","Approved Current")</x:f>
      </x:c>
      <x:c r="O146" s="49" t="str">
        <x:f>IF($A146="","","Derived from Result Review row "&amp;M146)</x:f>
      </x:c>
    </x:row>
    <x:row r="147" ht="15" hidden="0" customHeight="1">
      <x:c r="A147" s="48" t="str">
        <x:f>IF(Fixtures!A147="","",IF(COUNTIFS('Result Review'!$D$5:$D$204,Fixtures!A147,'Result Review'!$R$5:$R$204,"Approved Current")=1,Fixtures!A147,""))</x:f>
      </x:c>
      <x:c r="B147" s="38" t="str">
        <x:f>IF($A147="","",XLOOKUP($A147,Fixtures!$A$5:$A$204,Fixtures!$B$5:$B$204,""))</x:f>
      </x:c>
      <x:c r="C147" s="38" t="str">
        <x:f>IF($A147="","",XLOOKUP($A147,Fixtures!$A$5:$A$204,Fixtures!$D$5:$D$204,""))</x:f>
      </x:c>
      <x:c r="D147" s="38" t="str">
        <x:f>IF($A147="","",XLOOKUP($A147,Fixtures!$A$5:$A$204,Fixtures!$E$5:$E$204,""))</x:f>
      </x:c>
      <x:c r="E147" s="38" t="str">
        <x:f>IF($A147="","",XLOOKUP($A147,Fixtures!$A$5:$A$204,Fixtures!$F$5:$F$204,""))</x:f>
      </x:c>
      <x:c r="F147" s="38" t="str">
        <x:f>IF($A147="","",XLOOKUP($A147,Fixtures!$A$5:$A$204,Fixtures!$G$5:$G$204,""))</x:f>
      </x:c>
      <x:c r="G147" s="38" t="str">
        <x:f>IF($A147="","",IFERROR(INDEX(FILTER('Result Review'!$X$5:$X$204,'Result Review'!$D$5:$D$204=$A147,'Result Review'!$R$5:$R$204="Approved Current"),1),""))</x:f>
      </x:c>
      <x:c r="H147" s="38" t="str">
        <x:f>IF($A147="","",IFERROR(INDEX(FILTER('Result Review'!$Y$5:$Y$204,'Result Review'!$D$5:$D$204=$A147,'Result Review'!$R$5:$R$204="Approved Current"),1),""))</x:f>
      </x:c>
      <x:c r="I147" s="38" t="str">
        <x:f>IF($A147="","",IFERROR(INDEX(FILTER('Result Review'!$J$5:$J$204,'Result Review'!$D$5:$D$204=$A147,'Result Review'!$R$5:$R$204="Approved Current"),1),""))</x:f>
      </x:c>
      <x:c r="J147" s="38" t="str">
        <x:f>IF($A147="","",IFERROR(INDEX(FILTER('Result Review'!$K$5:$K$204,'Result Review'!$D$5:$D$204=$A147,'Result Review'!$R$5:$R$204="Approved Current"),1),""))</x:f>
      </x:c>
      <x:c r="K147" s="38" t="str">
        <x:f>IF($A147="","",IFERROR(INDEX(FILTER('Result Review'!$Z$5:$Z$204,'Result Review'!$D$5:$D$204=$A147,'Result Review'!$R$5:$R$204="Approved Current"),1),""))</x:f>
      </x:c>
      <x:c r="L147" s="60" t="str">
        <x:f>IF($A147="","",IFERROR(INDEX(FILTER('Result Review'!$L$5:$L$204,'Result Review'!$D$5:$D$204=$A147,'Result Review'!$R$5:$R$204="Approved Current"),1),""))</x:f>
      </x:c>
      <x:c r="M147" s="38" t="str">
        <x:f>IF($A147="","",IFERROR(INDEX(FILTER('Result Review'!$B$5:$B$204,'Result Review'!$D$5:$D$204=$A147,'Result Review'!$R$5:$R$204="Approved Current"),1),""))</x:f>
      </x:c>
      <x:c r="N147" s="38" t="str">
        <x:f>IF($A147="","","Approved Current")</x:f>
      </x:c>
      <x:c r="O147" s="49" t="str">
        <x:f>IF($A147="","","Derived from Result Review row "&amp;M147)</x:f>
      </x:c>
    </x:row>
    <x:row r="148" ht="15" hidden="0" customHeight="1">
      <x:c r="A148" s="48" t="str">
        <x:f>IF(Fixtures!A148="","",IF(COUNTIFS('Result Review'!$D$5:$D$204,Fixtures!A148,'Result Review'!$R$5:$R$204,"Approved Current")=1,Fixtures!A148,""))</x:f>
      </x:c>
      <x:c r="B148" s="38" t="str">
        <x:f>IF($A148="","",XLOOKUP($A148,Fixtures!$A$5:$A$204,Fixtures!$B$5:$B$204,""))</x:f>
      </x:c>
      <x:c r="C148" s="38" t="str">
        <x:f>IF($A148="","",XLOOKUP($A148,Fixtures!$A$5:$A$204,Fixtures!$D$5:$D$204,""))</x:f>
      </x:c>
      <x:c r="D148" s="38" t="str">
        <x:f>IF($A148="","",XLOOKUP($A148,Fixtures!$A$5:$A$204,Fixtures!$E$5:$E$204,""))</x:f>
      </x:c>
      <x:c r="E148" s="38" t="str">
        <x:f>IF($A148="","",XLOOKUP($A148,Fixtures!$A$5:$A$204,Fixtures!$F$5:$F$204,""))</x:f>
      </x:c>
      <x:c r="F148" s="38" t="str">
        <x:f>IF($A148="","",XLOOKUP($A148,Fixtures!$A$5:$A$204,Fixtures!$G$5:$G$204,""))</x:f>
      </x:c>
      <x:c r="G148" s="38" t="str">
        <x:f>IF($A148="","",IFERROR(INDEX(FILTER('Result Review'!$X$5:$X$204,'Result Review'!$D$5:$D$204=$A148,'Result Review'!$R$5:$R$204="Approved Current"),1),""))</x:f>
      </x:c>
      <x:c r="H148" s="38" t="str">
        <x:f>IF($A148="","",IFERROR(INDEX(FILTER('Result Review'!$Y$5:$Y$204,'Result Review'!$D$5:$D$204=$A148,'Result Review'!$R$5:$R$204="Approved Current"),1),""))</x:f>
      </x:c>
      <x:c r="I148" s="38" t="str">
        <x:f>IF($A148="","",IFERROR(INDEX(FILTER('Result Review'!$J$5:$J$204,'Result Review'!$D$5:$D$204=$A148,'Result Review'!$R$5:$R$204="Approved Current"),1),""))</x:f>
      </x:c>
      <x:c r="J148" s="38" t="str">
        <x:f>IF($A148="","",IFERROR(INDEX(FILTER('Result Review'!$K$5:$K$204,'Result Review'!$D$5:$D$204=$A148,'Result Review'!$R$5:$R$204="Approved Current"),1),""))</x:f>
      </x:c>
      <x:c r="K148" s="38" t="str">
        <x:f>IF($A148="","",IFERROR(INDEX(FILTER('Result Review'!$Z$5:$Z$204,'Result Review'!$D$5:$D$204=$A148,'Result Review'!$R$5:$R$204="Approved Current"),1),""))</x:f>
      </x:c>
      <x:c r="L148" s="60" t="str">
        <x:f>IF($A148="","",IFERROR(INDEX(FILTER('Result Review'!$L$5:$L$204,'Result Review'!$D$5:$D$204=$A148,'Result Review'!$R$5:$R$204="Approved Current"),1),""))</x:f>
      </x:c>
      <x:c r="M148" s="38" t="str">
        <x:f>IF($A148="","",IFERROR(INDEX(FILTER('Result Review'!$B$5:$B$204,'Result Review'!$D$5:$D$204=$A148,'Result Review'!$R$5:$R$204="Approved Current"),1),""))</x:f>
      </x:c>
      <x:c r="N148" s="38" t="str">
        <x:f>IF($A148="","","Approved Current")</x:f>
      </x:c>
      <x:c r="O148" s="49" t="str">
        <x:f>IF($A148="","","Derived from Result Review row "&amp;M148)</x:f>
      </x:c>
    </x:row>
    <x:row r="149" ht="15" hidden="0" customHeight="1">
      <x:c r="A149" s="48" t="str">
        <x:f>IF(Fixtures!A149="","",IF(COUNTIFS('Result Review'!$D$5:$D$204,Fixtures!A149,'Result Review'!$R$5:$R$204,"Approved Current")=1,Fixtures!A149,""))</x:f>
      </x:c>
      <x:c r="B149" s="38" t="str">
        <x:f>IF($A149="","",XLOOKUP($A149,Fixtures!$A$5:$A$204,Fixtures!$B$5:$B$204,""))</x:f>
      </x:c>
      <x:c r="C149" s="38" t="str">
        <x:f>IF($A149="","",XLOOKUP($A149,Fixtures!$A$5:$A$204,Fixtures!$D$5:$D$204,""))</x:f>
      </x:c>
      <x:c r="D149" s="38" t="str">
        <x:f>IF($A149="","",XLOOKUP($A149,Fixtures!$A$5:$A$204,Fixtures!$E$5:$E$204,""))</x:f>
      </x:c>
      <x:c r="E149" s="38" t="str">
        <x:f>IF($A149="","",XLOOKUP($A149,Fixtures!$A$5:$A$204,Fixtures!$F$5:$F$204,""))</x:f>
      </x:c>
      <x:c r="F149" s="38" t="str">
        <x:f>IF($A149="","",XLOOKUP($A149,Fixtures!$A$5:$A$204,Fixtures!$G$5:$G$204,""))</x:f>
      </x:c>
      <x:c r="G149" s="38" t="str">
        <x:f>IF($A149="","",IFERROR(INDEX(FILTER('Result Review'!$X$5:$X$204,'Result Review'!$D$5:$D$204=$A149,'Result Review'!$R$5:$R$204="Approved Current"),1),""))</x:f>
      </x:c>
      <x:c r="H149" s="38" t="str">
        <x:f>IF($A149="","",IFERROR(INDEX(FILTER('Result Review'!$Y$5:$Y$204,'Result Review'!$D$5:$D$204=$A149,'Result Review'!$R$5:$R$204="Approved Current"),1),""))</x:f>
      </x:c>
      <x:c r="I149" s="38" t="str">
        <x:f>IF($A149="","",IFERROR(INDEX(FILTER('Result Review'!$J$5:$J$204,'Result Review'!$D$5:$D$204=$A149,'Result Review'!$R$5:$R$204="Approved Current"),1),""))</x:f>
      </x:c>
      <x:c r="J149" s="38" t="str">
        <x:f>IF($A149="","",IFERROR(INDEX(FILTER('Result Review'!$K$5:$K$204,'Result Review'!$D$5:$D$204=$A149,'Result Review'!$R$5:$R$204="Approved Current"),1),""))</x:f>
      </x:c>
      <x:c r="K149" s="38" t="str">
        <x:f>IF($A149="","",IFERROR(INDEX(FILTER('Result Review'!$Z$5:$Z$204,'Result Review'!$D$5:$D$204=$A149,'Result Review'!$R$5:$R$204="Approved Current"),1),""))</x:f>
      </x:c>
      <x:c r="L149" s="60" t="str">
        <x:f>IF($A149="","",IFERROR(INDEX(FILTER('Result Review'!$L$5:$L$204,'Result Review'!$D$5:$D$204=$A149,'Result Review'!$R$5:$R$204="Approved Current"),1),""))</x:f>
      </x:c>
      <x:c r="M149" s="38" t="str">
        <x:f>IF($A149="","",IFERROR(INDEX(FILTER('Result Review'!$B$5:$B$204,'Result Review'!$D$5:$D$204=$A149,'Result Review'!$R$5:$R$204="Approved Current"),1),""))</x:f>
      </x:c>
      <x:c r="N149" s="38" t="str">
        <x:f>IF($A149="","","Approved Current")</x:f>
      </x:c>
      <x:c r="O149" s="49" t="str">
        <x:f>IF($A149="","","Derived from Result Review row "&amp;M149)</x:f>
      </x:c>
    </x:row>
    <x:row r="150" ht="15" hidden="0" customHeight="1">
      <x:c r="A150" s="48" t="str">
        <x:f>IF(Fixtures!A150="","",IF(COUNTIFS('Result Review'!$D$5:$D$204,Fixtures!A150,'Result Review'!$R$5:$R$204,"Approved Current")=1,Fixtures!A150,""))</x:f>
      </x:c>
      <x:c r="B150" s="38" t="str">
        <x:f>IF($A150="","",XLOOKUP($A150,Fixtures!$A$5:$A$204,Fixtures!$B$5:$B$204,""))</x:f>
      </x:c>
      <x:c r="C150" s="38" t="str">
        <x:f>IF($A150="","",XLOOKUP($A150,Fixtures!$A$5:$A$204,Fixtures!$D$5:$D$204,""))</x:f>
      </x:c>
      <x:c r="D150" s="38" t="str">
        <x:f>IF($A150="","",XLOOKUP($A150,Fixtures!$A$5:$A$204,Fixtures!$E$5:$E$204,""))</x:f>
      </x:c>
      <x:c r="E150" s="38" t="str">
        <x:f>IF($A150="","",XLOOKUP($A150,Fixtures!$A$5:$A$204,Fixtures!$F$5:$F$204,""))</x:f>
      </x:c>
      <x:c r="F150" s="38" t="str">
        <x:f>IF($A150="","",XLOOKUP($A150,Fixtures!$A$5:$A$204,Fixtures!$G$5:$G$204,""))</x:f>
      </x:c>
      <x:c r="G150" s="38" t="str">
        <x:f>IF($A150="","",IFERROR(INDEX(FILTER('Result Review'!$X$5:$X$204,'Result Review'!$D$5:$D$204=$A150,'Result Review'!$R$5:$R$204="Approved Current"),1),""))</x:f>
      </x:c>
      <x:c r="H150" s="38" t="str">
        <x:f>IF($A150="","",IFERROR(INDEX(FILTER('Result Review'!$Y$5:$Y$204,'Result Review'!$D$5:$D$204=$A150,'Result Review'!$R$5:$R$204="Approved Current"),1),""))</x:f>
      </x:c>
      <x:c r="I150" s="38" t="str">
        <x:f>IF($A150="","",IFERROR(INDEX(FILTER('Result Review'!$J$5:$J$204,'Result Review'!$D$5:$D$204=$A150,'Result Review'!$R$5:$R$204="Approved Current"),1),""))</x:f>
      </x:c>
      <x:c r="J150" s="38" t="str">
        <x:f>IF($A150="","",IFERROR(INDEX(FILTER('Result Review'!$K$5:$K$204,'Result Review'!$D$5:$D$204=$A150,'Result Review'!$R$5:$R$204="Approved Current"),1),""))</x:f>
      </x:c>
      <x:c r="K150" s="38" t="str">
        <x:f>IF($A150="","",IFERROR(INDEX(FILTER('Result Review'!$Z$5:$Z$204,'Result Review'!$D$5:$D$204=$A150,'Result Review'!$R$5:$R$204="Approved Current"),1),""))</x:f>
      </x:c>
      <x:c r="L150" s="60" t="str">
        <x:f>IF($A150="","",IFERROR(INDEX(FILTER('Result Review'!$L$5:$L$204,'Result Review'!$D$5:$D$204=$A150,'Result Review'!$R$5:$R$204="Approved Current"),1),""))</x:f>
      </x:c>
      <x:c r="M150" s="38" t="str">
        <x:f>IF($A150="","",IFERROR(INDEX(FILTER('Result Review'!$B$5:$B$204,'Result Review'!$D$5:$D$204=$A150,'Result Review'!$R$5:$R$204="Approved Current"),1),""))</x:f>
      </x:c>
      <x:c r="N150" s="38" t="str">
        <x:f>IF($A150="","","Approved Current")</x:f>
      </x:c>
      <x:c r="O150" s="49" t="str">
        <x:f>IF($A150="","","Derived from Result Review row "&amp;M150)</x:f>
      </x:c>
    </x:row>
    <x:row r="151" ht="15" hidden="0" customHeight="1">
      <x:c r="A151" s="48" t="str">
        <x:f>IF(Fixtures!A151="","",IF(COUNTIFS('Result Review'!$D$5:$D$204,Fixtures!A151,'Result Review'!$R$5:$R$204,"Approved Current")=1,Fixtures!A151,""))</x:f>
      </x:c>
      <x:c r="B151" s="38" t="str">
        <x:f>IF($A151="","",XLOOKUP($A151,Fixtures!$A$5:$A$204,Fixtures!$B$5:$B$204,""))</x:f>
      </x:c>
      <x:c r="C151" s="38" t="str">
        <x:f>IF($A151="","",XLOOKUP($A151,Fixtures!$A$5:$A$204,Fixtures!$D$5:$D$204,""))</x:f>
      </x:c>
      <x:c r="D151" s="38" t="str">
        <x:f>IF($A151="","",XLOOKUP($A151,Fixtures!$A$5:$A$204,Fixtures!$E$5:$E$204,""))</x:f>
      </x:c>
      <x:c r="E151" s="38" t="str">
        <x:f>IF($A151="","",XLOOKUP($A151,Fixtures!$A$5:$A$204,Fixtures!$F$5:$F$204,""))</x:f>
      </x:c>
      <x:c r="F151" s="38" t="str">
        <x:f>IF($A151="","",XLOOKUP($A151,Fixtures!$A$5:$A$204,Fixtures!$G$5:$G$204,""))</x:f>
      </x:c>
      <x:c r="G151" s="38" t="str">
        <x:f>IF($A151="","",IFERROR(INDEX(FILTER('Result Review'!$X$5:$X$204,'Result Review'!$D$5:$D$204=$A151,'Result Review'!$R$5:$R$204="Approved Current"),1),""))</x:f>
      </x:c>
      <x:c r="H151" s="38" t="str">
        <x:f>IF($A151="","",IFERROR(INDEX(FILTER('Result Review'!$Y$5:$Y$204,'Result Review'!$D$5:$D$204=$A151,'Result Review'!$R$5:$R$204="Approved Current"),1),""))</x:f>
      </x:c>
      <x:c r="I151" s="38" t="str">
        <x:f>IF($A151="","",IFERROR(INDEX(FILTER('Result Review'!$J$5:$J$204,'Result Review'!$D$5:$D$204=$A151,'Result Review'!$R$5:$R$204="Approved Current"),1),""))</x:f>
      </x:c>
      <x:c r="J151" s="38" t="str">
        <x:f>IF($A151="","",IFERROR(INDEX(FILTER('Result Review'!$K$5:$K$204,'Result Review'!$D$5:$D$204=$A151,'Result Review'!$R$5:$R$204="Approved Current"),1),""))</x:f>
      </x:c>
      <x:c r="K151" s="38" t="str">
        <x:f>IF($A151="","",IFERROR(INDEX(FILTER('Result Review'!$Z$5:$Z$204,'Result Review'!$D$5:$D$204=$A151,'Result Review'!$R$5:$R$204="Approved Current"),1),""))</x:f>
      </x:c>
      <x:c r="L151" s="60" t="str">
        <x:f>IF($A151="","",IFERROR(INDEX(FILTER('Result Review'!$L$5:$L$204,'Result Review'!$D$5:$D$204=$A151,'Result Review'!$R$5:$R$204="Approved Current"),1),""))</x:f>
      </x:c>
      <x:c r="M151" s="38" t="str">
        <x:f>IF($A151="","",IFERROR(INDEX(FILTER('Result Review'!$B$5:$B$204,'Result Review'!$D$5:$D$204=$A151,'Result Review'!$R$5:$R$204="Approved Current"),1),""))</x:f>
      </x:c>
      <x:c r="N151" s="38" t="str">
        <x:f>IF($A151="","","Approved Current")</x:f>
      </x:c>
      <x:c r="O151" s="49" t="str">
        <x:f>IF($A151="","","Derived from Result Review row "&amp;M151)</x:f>
      </x:c>
    </x:row>
    <x:row r="152" ht="15" hidden="0" customHeight="1">
      <x:c r="A152" s="48" t="str">
        <x:f>IF(Fixtures!A152="","",IF(COUNTIFS('Result Review'!$D$5:$D$204,Fixtures!A152,'Result Review'!$R$5:$R$204,"Approved Current")=1,Fixtures!A152,""))</x:f>
      </x:c>
      <x:c r="B152" s="38" t="str">
        <x:f>IF($A152="","",XLOOKUP($A152,Fixtures!$A$5:$A$204,Fixtures!$B$5:$B$204,""))</x:f>
      </x:c>
      <x:c r="C152" s="38" t="str">
        <x:f>IF($A152="","",XLOOKUP($A152,Fixtures!$A$5:$A$204,Fixtures!$D$5:$D$204,""))</x:f>
      </x:c>
      <x:c r="D152" s="38" t="str">
        <x:f>IF($A152="","",XLOOKUP($A152,Fixtures!$A$5:$A$204,Fixtures!$E$5:$E$204,""))</x:f>
      </x:c>
      <x:c r="E152" s="38" t="str">
        <x:f>IF($A152="","",XLOOKUP($A152,Fixtures!$A$5:$A$204,Fixtures!$F$5:$F$204,""))</x:f>
      </x:c>
      <x:c r="F152" s="38" t="str">
        <x:f>IF($A152="","",XLOOKUP($A152,Fixtures!$A$5:$A$204,Fixtures!$G$5:$G$204,""))</x:f>
      </x:c>
      <x:c r="G152" s="38" t="str">
        <x:f>IF($A152="","",IFERROR(INDEX(FILTER('Result Review'!$X$5:$X$204,'Result Review'!$D$5:$D$204=$A152,'Result Review'!$R$5:$R$204="Approved Current"),1),""))</x:f>
      </x:c>
      <x:c r="H152" s="38" t="str">
        <x:f>IF($A152="","",IFERROR(INDEX(FILTER('Result Review'!$Y$5:$Y$204,'Result Review'!$D$5:$D$204=$A152,'Result Review'!$R$5:$R$204="Approved Current"),1),""))</x:f>
      </x:c>
      <x:c r="I152" s="38" t="str">
        <x:f>IF($A152="","",IFERROR(INDEX(FILTER('Result Review'!$J$5:$J$204,'Result Review'!$D$5:$D$204=$A152,'Result Review'!$R$5:$R$204="Approved Current"),1),""))</x:f>
      </x:c>
      <x:c r="J152" s="38" t="str">
        <x:f>IF($A152="","",IFERROR(INDEX(FILTER('Result Review'!$K$5:$K$204,'Result Review'!$D$5:$D$204=$A152,'Result Review'!$R$5:$R$204="Approved Current"),1),""))</x:f>
      </x:c>
      <x:c r="K152" s="38" t="str">
        <x:f>IF($A152="","",IFERROR(INDEX(FILTER('Result Review'!$Z$5:$Z$204,'Result Review'!$D$5:$D$204=$A152,'Result Review'!$R$5:$R$204="Approved Current"),1),""))</x:f>
      </x:c>
      <x:c r="L152" s="60" t="str">
        <x:f>IF($A152="","",IFERROR(INDEX(FILTER('Result Review'!$L$5:$L$204,'Result Review'!$D$5:$D$204=$A152,'Result Review'!$R$5:$R$204="Approved Current"),1),""))</x:f>
      </x:c>
      <x:c r="M152" s="38" t="str">
        <x:f>IF($A152="","",IFERROR(INDEX(FILTER('Result Review'!$B$5:$B$204,'Result Review'!$D$5:$D$204=$A152,'Result Review'!$R$5:$R$204="Approved Current"),1),""))</x:f>
      </x:c>
      <x:c r="N152" s="38" t="str">
        <x:f>IF($A152="","","Approved Current")</x:f>
      </x:c>
      <x:c r="O152" s="49" t="str">
        <x:f>IF($A152="","","Derived from Result Review row "&amp;M152)</x:f>
      </x:c>
    </x:row>
    <x:row r="153" ht="15" hidden="0" customHeight="1">
      <x:c r="A153" s="48" t="str">
        <x:f>IF(Fixtures!A153="","",IF(COUNTIFS('Result Review'!$D$5:$D$204,Fixtures!A153,'Result Review'!$R$5:$R$204,"Approved Current")=1,Fixtures!A153,""))</x:f>
      </x:c>
      <x:c r="B153" s="38" t="str">
        <x:f>IF($A153="","",XLOOKUP($A153,Fixtures!$A$5:$A$204,Fixtures!$B$5:$B$204,""))</x:f>
      </x:c>
      <x:c r="C153" s="38" t="str">
        <x:f>IF($A153="","",XLOOKUP($A153,Fixtures!$A$5:$A$204,Fixtures!$D$5:$D$204,""))</x:f>
      </x:c>
      <x:c r="D153" s="38" t="str">
        <x:f>IF($A153="","",XLOOKUP($A153,Fixtures!$A$5:$A$204,Fixtures!$E$5:$E$204,""))</x:f>
      </x:c>
      <x:c r="E153" s="38" t="str">
        <x:f>IF($A153="","",XLOOKUP($A153,Fixtures!$A$5:$A$204,Fixtures!$F$5:$F$204,""))</x:f>
      </x:c>
      <x:c r="F153" s="38" t="str">
        <x:f>IF($A153="","",XLOOKUP($A153,Fixtures!$A$5:$A$204,Fixtures!$G$5:$G$204,""))</x:f>
      </x:c>
      <x:c r="G153" s="38" t="str">
        <x:f>IF($A153="","",IFERROR(INDEX(FILTER('Result Review'!$X$5:$X$204,'Result Review'!$D$5:$D$204=$A153,'Result Review'!$R$5:$R$204="Approved Current"),1),""))</x:f>
      </x:c>
      <x:c r="H153" s="38" t="str">
        <x:f>IF($A153="","",IFERROR(INDEX(FILTER('Result Review'!$Y$5:$Y$204,'Result Review'!$D$5:$D$204=$A153,'Result Review'!$R$5:$R$204="Approved Current"),1),""))</x:f>
      </x:c>
      <x:c r="I153" s="38" t="str">
        <x:f>IF($A153="","",IFERROR(INDEX(FILTER('Result Review'!$J$5:$J$204,'Result Review'!$D$5:$D$204=$A153,'Result Review'!$R$5:$R$204="Approved Current"),1),""))</x:f>
      </x:c>
      <x:c r="J153" s="38" t="str">
        <x:f>IF($A153="","",IFERROR(INDEX(FILTER('Result Review'!$K$5:$K$204,'Result Review'!$D$5:$D$204=$A153,'Result Review'!$R$5:$R$204="Approved Current"),1),""))</x:f>
      </x:c>
      <x:c r="K153" s="38" t="str">
        <x:f>IF($A153="","",IFERROR(INDEX(FILTER('Result Review'!$Z$5:$Z$204,'Result Review'!$D$5:$D$204=$A153,'Result Review'!$R$5:$R$204="Approved Current"),1),""))</x:f>
      </x:c>
      <x:c r="L153" s="60" t="str">
        <x:f>IF($A153="","",IFERROR(INDEX(FILTER('Result Review'!$L$5:$L$204,'Result Review'!$D$5:$D$204=$A153,'Result Review'!$R$5:$R$204="Approved Current"),1),""))</x:f>
      </x:c>
      <x:c r="M153" s="38" t="str">
        <x:f>IF($A153="","",IFERROR(INDEX(FILTER('Result Review'!$B$5:$B$204,'Result Review'!$D$5:$D$204=$A153,'Result Review'!$R$5:$R$204="Approved Current"),1),""))</x:f>
      </x:c>
      <x:c r="N153" s="38" t="str">
        <x:f>IF($A153="","","Approved Current")</x:f>
      </x:c>
      <x:c r="O153" s="49" t="str">
        <x:f>IF($A153="","","Derived from Result Review row "&amp;M153)</x:f>
      </x:c>
    </x:row>
    <x:row r="154" ht="15" hidden="0" customHeight="1">
      <x:c r="A154" s="48" t="str">
        <x:f>IF(Fixtures!A154="","",IF(COUNTIFS('Result Review'!$D$5:$D$204,Fixtures!A154,'Result Review'!$R$5:$R$204,"Approved Current")=1,Fixtures!A154,""))</x:f>
      </x:c>
      <x:c r="B154" s="38" t="str">
        <x:f>IF($A154="","",XLOOKUP($A154,Fixtures!$A$5:$A$204,Fixtures!$B$5:$B$204,""))</x:f>
      </x:c>
      <x:c r="C154" s="38" t="str">
        <x:f>IF($A154="","",XLOOKUP($A154,Fixtures!$A$5:$A$204,Fixtures!$D$5:$D$204,""))</x:f>
      </x:c>
      <x:c r="D154" s="38" t="str">
        <x:f>IF($A154="","",XLOOKUP($A154,Fixtures!$A$5:$A$204,Fixtures!$E$5:$E$204,""))</x:f>
      </x:c>
      <x:c r="E154" s="38" t="str">
        <x:f>IF($A154="","",XLOOKUP($A154,Fixtures!$A$5:$A$204,Fixtures!$F$5:$F$204,""))</x:f>
      </x:c>
      <x:c r="F154" s="38" t="str">
        <x:f>IF($A154="","",XLOOKUP($A154,Fixtures!$A$5:$A$204,Fixtures!$G$5:$G$204,""))</x:f>
      </x:c>
      <x:c r="G154" s="38" t="str">
        <x:f>IF($A154="","",IFERROR(INDEX(FILTER('Result Review'!$X$5:$X$204,'Result Review'!$D$5:$D$204=$A154,'Result Review'!$R$5:$R$204="Approved Current"),1),""))</x:f>
      </x:c>
      <x:c r="H154" s="38" t="str">
        <x:f>IF($A154="","",IFERROR(INDEX(FILTER('Result Review'!$Y$5:$Y$204,'Result Review'!$D$5:$D$204=$A154,'Result Review'!$R$5:$R$204="Approved Current"),1),""))</x:f>
      </x:c>
      <x:c r="I154" s="38" t="str">
        <x:f>IF($A154="","",IFERROR(INDEX(FILTER('Result Review'!$J$5:$J$204,'Result Review'!$D$5:$D$204=$A154,'Result Review'!$R$5:$R$204="Approved Current"),1),""))</x:f>
      </x:c>
      <x:c r="J154" s="38" t="str">
        <x:f>IF($A154="","",IFERROR(INDEX(FILTER('Result Review'!$K$5:$K$204,'Result Review'!$D$5:$D$204=$A154,'Result Review'!$R$5:$R$204="Approved Current"),1),""))</x:f>
      </x:c>
      <x:c r="K154" s="38" t="str">
        <x:f>IF($A154="","",IFERROR(INDEX(FILTER('Result Review'!$Z$5:$Z$204,'Result Review'!$D$5:$D$204=$A154,'Result Review'!$R$5:$R$204="Approved Current"),1),""))</x:f>
      </x:c>
      <x:c r="L154" s="60" t="str">
        <x:f>IF($A154="","",IFERROR(INDEX(FILTER('Result Review'!$L$5:$L$204,'Result Review'!$D$5:$D$204=$A154,'Result Review'!$R$5:$R$204="Approved Current"),1),""))</x:f>
      </x:c>
      <x:c r="M154" s="38" t="str">
        <x:f>IF($A154="","",IFERROR(INDEX(FILTER('Result Review'!$B$5:$B$204,'Result Review'!$D$5:$D$204=$A154,'Result Review'!$R$5:$R$204="Approved Current"),1),""))</x:f>
      </x:c>
      <x:c r="N154" s="38" t="str">
        <x:f>IF($A154="","","Approved Current")</x:f>
      </x:c>
      <x:c r="O154" s="49" t="str">
        <x:f>IF($A154="","","Derived from Result Review row "&amp;M154)</x:f>
      </x:c>
    </x:row>
    <x:row r="155" ht="15" hidden="0" customHeight="1">
      <x:c r="A155" s="48" t="str">
        <x:f>IF(Fixtures!A155="","",IF(COUNTIFS('Result Review'!$D$5:$D$204,Fixtures!A155,'Result Review'!$R$5:$R$204,"Approved Current")=1,Fixtures!A155,""))</x:f>
      </x:c>
      <x:c r="B155" s="38" t="str">
        <x:f>IF($A155="","",XLOOKUP($A155,Fixtures!$A$5:$A$204,Fixtures!$B$5:$B$204,""))</x:f>
      </x:c>
      <x:c r="C155" s="38" t="str">
        <x:f>IF($A155="","",XLOOKUP($A155,Fixtures!$A$5:$A$204,Fixtures!$D$5:$D$204,""))</x:f>
      </x:c>
      <x:c r="D155" s="38" t="str">
        <x:f>IF($A155="","",XLOOKUP($A155,Fixtures!$A$5:$A$204,Fixtures!$E$5:$E$204,""))</x:f>
      </x:c>
      <x:c r="E155" s="38" t="str">
        <x:f>IF($A155="","",XLOOKUP($A155,Fixtures!$A$5:$A$204,Fixtures!$F$5:$F$204,""))</x:f>
      </x:c>
      <x:c r="F155" s="38" t="str">
        <x:f>IF($A155="","",XLOOKUP($A155,Fixtures!$A$5:$A$204,Fixtures!$G$5:$G$204,""))</x:f>
      </x:c>
      <x:c r="G155" s="38" t="str">
        <x:f>IF($A155="","",IFERROR(INDEX(FILTER('Result Review'!$X$5:$X$204,'Result Review'!$D$5:$D$204=$A155,'Result Review'!$R$5:$R$204="Approved Current"),1),""))</x:f>
      </x:c>
      <x:c r="H155" s="38" t="str">
        <x:f>IF($A155="","",IFERROR(INDEX(FILTER('Result Review'!$Y$5:$Y$204,'Result Review'!$D$5:$D$204=$A155,'Result Review'!$R$5:$R$204="Approved Current"),1),""))</x:f>
      </x:c>
      <x:c r="I155" s="38" t="str">
        <x:f>IF($A155="","",IFERROR(INDEX(FILTER('Result Review'!$J$5:$J$204,'Result Review'!$D$5:$D$204=$A155,'Result Review'!$R$5:$R$204="Approved Current"),1),""))</x:f>
      </x:c>
      <x:c r="J155" s="38" t="str">
        <x:f>IF($A155="","",IFERROR(INDEX(FILTER('Result Review'!$K$5:$K$204,'Result Review'!$D$5:$D$204=$A155,'Result Review'!$R$5:$R$204="Approved Current"),1),""))</x:f>
      </x:c>
      <x:c r="K155" s="38" t="str">
        <x:f>IF($A155="","",IFERROR(INDEX(FILTER('Result Review'!$Z$5:$Z$204,'Result Review'!$D$5:$D$204=$A155,'Result Review'!$R$5:$R$204="Approved Current"),1),""))</x:f>
      </x:c>
      <x:c r="L155" s="60" t="str">
        <x:f>IF($A155="","",IFERROR(INDEX(FILTER('Result Review'!$L$5:$L$204,'Result Review'!$D$5:$D$204=$A155,'Result Review'!$R$5:$R$204="Approved Current"),1),""))</x:f>
      </x:c>
      <x:c r="M155" s="38" t="str">
        <x:f>IF($A155="","",IFERROR(INDEX(FILTER('Result Review'!$B$5:$B$204,'Result Review'!$D$5:$D$204=$A155,'Result Review'!$R$5:$R$204="Approved Current"),1),""))</x:f>
      </x:c>
      <x:c r="N155" s="38" t="str">
        <x:f>IF($A155="","","Approved Current")</x:f>
      </x:c>
      <x:c r="O155" s="49" t="str">
        <x:f>IF($A155="","","Derived from Result Review row "&amp;M155)</x:f>
      </x:c>
    </x:row>
    <x:row r="156" ht="15" hidden="0" customHeight="1">
      <x:c r="A156" s="48" t="str">
        <x:f>IF(Fixtures!A156="","",IF(COUNTIFS('Result Review'!$D$5:$D$204,Fixtures!A156,'Result Review'!$R$5:$R$204,"Approved Current")=1,Fixtures!A156,""))</x:f>
      </x:c>
      <x:c r="B156" s="38" t="str">
        <x:f>IF($A156="","",XLOOKUP($A156,Fixtures!$A$5:$A$204,Fixtures!$B$5:$B$204,""))</x:f>
      </x:c>
      <x:c r="C156" s="38" t="str">
        <x:f>IF($A156="","",XLOOKUP($A156,Fixtures!$A$5:$A$204,Fixtures!$D$5:$D$204,""))</x:f>
      </x:c>
      <x:c r="D156" s="38" t="str">
        <x:f>IF($A156="","",XLOOKUP($A156,Fixtures!$A$5:$A$204,Fixtures!$E$5:$E$204,""))</x:f>
      </x:c>
      <x:c r="E156" s="38" t="str">
        <x:f>IF($A156="","",XLOOKUP($A156,Fixtures!$A$5:$A$204,Fixtures!$F$5:$F$204,""))</x:f>
      </x:c>
      <x:c r="F156" s="38" t="str">
        <x:f>IF($A156="","",XLOOKUP($A156,Fixtures!$A$5:$A$204,Fixtures!$G$5:$G$204,""))</x:f>
      </x:c>
      <x:c r="G156" s="38" t="str">
        <x:f>IF($A156="","",IFERROR(INDEX(FILTER('Result Review'!$X$5:$X$204,'Result Review'!$D$5:$D$204=$A156,'Result Review'!$R$5:$R$204="Approved Current"),1),""))</x:f>
      </x:c>
      <x:c r="H156" s="38" t="str">
        <x:f>IF($A156="","",IFERROR(INDEX(FILTER('Result Review'!$Y$5:$Y$204,'Result Review'!$D$5:$D$204=$A156,'Result Review'!$R$5:$R$204="Approved Current"),1),""))</x:f>
      </x:c>
      <x:c r="I156" s="38" t="str">
        <x:f>IF($A156="","",IFERROR(INDEX(FILTER('Result Review'!$J$5:$J$204,'Result Review'!$D$5:$D$204=$A156,'Result Review'!$R$5:$R$204="Approved Current"),1),""))</x:f>
      </x:c>
      <x:c r="J156" s="38" t="str">
        <x:f>IF($A156="","",IFERROR(INDEX(FILTER('Result Review'!$K$5:$K$204,'Result Review'!$D$5:$D$204=$A156,'Result Review'!$R$5:$R$204="Approved Current"),1),""))</x:f>
      </x:c>
      <x:c r="K156" s="38" t="str">
        <x:f>IF($A156="","",IFERROR(INDEX(FILTER('Result Review'!$Z$5:$Z$204,'Result Review'!$D$5:$D$204=$A156,'Result Review'!$R$5:$R$204="Approved Current"),1),""))</x:f>
      </x:c>
      <x:c r="L156" s="60" t="str">
        <x:f>IF($A156="","",IFERROR(INDEX(FILTER('Result Review'!$L$5:$L$204,'Result Review'!$D$5:$D$204=$A156,'Result Review'!$R$5:$R$204="Approved Current"),1),""))</x:f>
      </x:c>
      <x:c r="M156" s="38" t="str">
        <x:f>IF($A156="","",IFERROR(INDEX(FILTER('Result Review'!$B$5:$B$204,'Result Review'!$D$5:$D$204=$A156,'Result Review'!$R$5:$R$204="Approved Current"),1),""))</x:f>
      </x:c>
      <x:c r="N156" s="38" t="str">
        <x:f>IF($A156="","","Approved Current")</x:f>
      </x:c>
      <x:c r="O156" s="49" t="str">
        <x:f>IF($A156="","","Derived from Result Review row "&amp;M156)</x:f>
      </x:c>
    </x:row>
    <x:row r="157" ht="15" hidden="0" customHeight="1">
      <x:c r="A157" s="48" t="str">
        <x:f>IF(Fixtures!A157="","",IF(COUNTIFS('Result Review'!$D$5:$D$204,Fixtures!A157,'Result Review'!$R$5:$R$204,"Approved Current")=1,Fixtures!A157,""))</x:f>
      </x:c>
      <x:c r="B157" s="38" t="str">
        <x:f>IF($A157="","",XLOOKUP($A157,Fixtures!$A$5:$A$204,Fixtures!$B$5:$B$204,""))</x:f>
      </x:c>
      <x:c r="C157" s="38" t="str">
        <x:f>IF($A157="","",XLOOKUP($A157,Fixtures!$A$5:$A$204,Fixtures!$D$5:$D$204,""))</x:f>
      </x:c>
      <x:c r="D157" s="38" t="str">
        <x:f>IF($A157="","",XLOOKUP($A157,Fixtures!$A$5:$A$204,Fixtures!$E$5:$E$204,""))</x:f>
      </x:c>
      <x:c r="E157" s="38" t="str">
        <x:f>IF($A157="","",XLOOKUP($A157,Fixtures!$A$5:$A$204,Fixtures!$F$5:$F$204,""))</x:f>
      </x:c>
      <x:c r="F157" s="38" t="str">
        <x:f>IF($A157="","",XLOOKUP($A157,Fixtures!$A$5:$A$204,Fixtures!$G$5:$G$204,""))</x:f>
      </x:c>
      <x:c r="G157" s="38" t="str">
        <x:f>IF($A157="","",IFERROR(INDEX(FILTER('Result Review'!$X$5:$X$204,'Result Review'!$D$5:$D$204=$A157,'Result Review'!$R$5:$R$204="Approved Current"),1),""))</x:f>
      </x:c>
      <x:c r="H157" s="38" t="str">
        <x:f>IF($A157="","",IFERROR(INDEX(FILTER('Result Review'!$Y$5:$Y$204,'Result Review'!$D$5:$D$204=$A157,'Result Review'!$R$5:$R$204="Approved Current"),1),""))</x:f>
      </x:c>
      <x:c r="I157" s="38" t="str">
        <x:f>IF($A157="","",IFERROR(INDEX(FILTER('Result Review'!$J$5:$J$204,'Result Review'!$D$5:$D$204=$A157,'Result Review'!$R$5:$R$204="Approved Current"),1),""))</x:f>
      </x:c>
      <x:c r="J157" s="38" t="str">
        <x:f>IF($A157="","",IFERROR(INDEX(FILTER('Result Review'!$K$5:$K$204,'Result Review'!$D$5:$D$204=$A157,'Result Review'!$R$5:$R$204="Approved Current"),1),""))</x:f>
      </x:c>
      <x:c r="K157" s="38" t="str">
        <x:f>IF($A157="","",IFERROR(INDEX(FILTER('Result Review'!$Z$5:$Z$204,'Result Review'!$D$5:$D$204=$A157,'Result Review'!$R$5:$R$204="Approved Current"),1),""))</x:f>
      </x:c>
      <x:c r="L157" s="60" t="str">
        <x:f>IF($A157="","",IFERROR(INDEX(FILTER('Result Review'!$L$5:$L$204,'Result Review'!$D$5:$D$204=$A157,'Result Review'!$R$5:$R$204="Approved Current"),1),""))</x:f>
      </x:c>
      <x:c r="M157" s="38" t="str">
        <x:f>IF($A157="","",IFERROR(INDEX(FILTER('Result Review'!$B$5:$B$204,'Result Review'!$D$5:$D$204=$A157,'Result Review'!$R$5:$R$204="Approved Current"),1),""))</x:f>
      </x:c>
      <x:c r="N157" s="38" t="str">
        <x:f>IF($A157="","","Approved Current")</x:f>
      </x:c>
      <x:c r="O157" s="49" t="str">
        <x:f>IF($A157="","","Derived from Result Review row "&amp;M157)</x:f>
      </x:c>
    </x:row>
    <x:row r="158" ht="15" hidden="0" customHeight="1">
      <x:c r="A158" s="48" t="str">
        <x:f>IF(Fixtures!A158="","",IF(COUNTIFS('Result Review'!$D$5:$D$204,Fixtures!A158,'Result Review'!$R$5:$R$204,"Approved Current")=1,Fixtures!A158,""))</x:f>
      </x:c>
      <x:c r="B158" s="38" t="str">
        <x:f>IF($A158="","",XLOOKUP($A158,Fixtures!$A$5:$A$204,Fixtures!$B$5:$B$204,""))</x:f>
      </x:c>
      <x:c r="C158" s="38" t="str">
        <x:f>IF($A158="","",XLOOKUP($A158,Fixtures!$A$5:$A$204,Fixtures!$D$5:$D$204,""))</x:f>
      </x:c>
      <x:c r="D158" s="38" t="str">
        <x:f>IF($A158="","",XLOOKUP($A158,Fixtures!$A$5:$A$204,Fixtures!$E$5:$E$204,""))</x:f>
      </x:c>
      <x:c r="E158" s="38" t="str">
        <x:f>IF($A158="","",XLOOKUP($A158,Fixtures!$A$5:$A$204,Fixtures!$F$5:$F$204,""))</x:f>
      </x:c>
      <x:c r="F158" s="38" t="str">
        <x:f>IF($A158="","",XLOOKUP($A158,Fixtures!$A$5:$A$204,Fixtures!$G$5:$G$204,""))</x:f>
      </x:c>
      <x:c r="G158" s="38" t="str">
        <x:f>IF($A158="","",IFERROR(INDEX(FILTER('Result Review'!$X$5:$X$204,'Result Review'!$D$5:$D$204=$A158,'Result Review'!$R$5:$R$204="Approved Current"),1),""))</x:f>
      </x:c>
      <x:c r="H158" s="38" t="str">
        <x:f>IF($A158="","",IFERROR(INDEX(FILTER('Result Review'!$Y$5:$Y$204,'Result Review'!$D$5:$D$204=$A158,'Result Review'!$R$5:$R$204="Approved Current"),1),""))</x:f>
      </x:c>
      <x:c r="I158" s="38" t="str">
        <x:f>IF($A158="","",IFERROR(INDEX(FILTER('Result Review'!$J$5:$J$204,'Result Review'!$D$5:$D$204=$A158,'Result Review'!$R$5:$R$204="Approved Current"),1),""))</x:f>
      </x:c>
      <x:c r="J158" s="38" t="str">
        <x:f>IF($A158="","",IFERROR(INDEX(FILTER('Result Review'!$K$5:$K$204,'Result Review'!$D$5:$D$204=$A158,'Result Review'!$R$5:$R$204="Approved Current"),1),""))</x:f>
      </x:c>
      <x:c r="K158" s="38" t="str">
        <x:f>IF($A158="","",IFERROR(INDEX(FILTER('Result Review'!$Z$5:$Z$204,'Result Review'!$D$5:$D$204=$A158,'Result Review'!$R$5:$R$204="Approved Current"),1),""))</x:f>
      </x:c>
      <x:c r="L158" s="60" t="str">
        <x:f>IF($A158="","",IFERROR(INDEX(FILTER('Result Review'!$L$5:$L$204,'Result Review'!$D$5:$D$204=$A158,'Result Review'!$R$5:$R$204="Approved Current"),1),""))</x:f>
      </x:c>
      <x:c r="M158" s="38" t="str">
        <x:f>IF($A158="","",IFERROR(INDEX(FILTER('Result Review'!$B$5:$B$204,'Result Review'!$D$5:$D$204=$A158,'Result Review'!$R$5:$R$204="Approved Current"),1),""))</x:f>
      </x:c>
      <x:c r="N158" s="38" t="str">
        <x:f>IF($A158="","","Approved Current")</x:f>
      </x:c>
      <x:c r="O158" s="49" t="str">
        <x:f>IF($A158="","","Derived from Result Review row "&amp;M158)</x:f>
      </x:c>
    </x:row>
    <x:row r="159" ht="15" hidden="0" customHeight="1">
      <x:c r="A159" s="48" t="str">
        <x:f>IF(Fixtures!A159="","",IF(COUNTIFS('Result Review'!$D$5:$D$204,Fixtures!A159,'Result Review'!$R$5:$R$204,"Approved Current")=1,Fixtures!A159,""))</x:f>
      </x:c>
      <x:c r="B159" s="38" t="str">
        <x:f>IF($A159="","",XLOOKUP($A159,Fixtures!$A$5:$A$204,Fixtures!$B$5:$B$204,""))</x:f>
      </x:c>
      <x:c r="C159" s="38" t="str">
        <x:f>IF($A159="","",XLOOKUP($A159,Fixtures!$A$5:$A$204,Fixtures!$D$5:$D$204,""))</x:f>
      </x:c>
      <x:c r="D159" s="38" t="str">
        <x:f>IF($A159="","",XLOOKUP($A159,Fixtures!$A$5:$A$204,Fixtures!$E$5:$E$204,""))</x:f>
      </x:c>
      <x:c r="E159" s="38" t="str">
        <x:f>IF($A159="","",XLOOKUP($A159,Fixtures!$A$5:$A$204,Fixtures!$F$5:$F$204,""))</x:f>
      </x:c>
      <x:c r="F159" s="38" t="str">
        <x:f>IF($A159="","",XLOOKUP($A159,Fixtures!$A$5:$A$204,Fixtures!$G$5:$G$204,""))</x:f>
      </x:c>
      <x:c r="G159" s="38" t="str">
        <x:f>IF($A159="","",IFERROR(INDEX(FILTER('Result Review'!$X$5:$X$204,'Result Review'!$D$5:$D$204=$A159,'Result Review'!$R$5:$R$204="Approved Current"),1),""))</x:f>
      </x:c>
      <x:c r="H159" s="38" t="str">
        <x:f>IF($A159="","",IFERROR(INDEX(FILTER('Result Review'!$Y$5:$Y$204,'Result Review'!$D$5:$D$204=$A159,'Result Review'!$R$5:$R$204="Approved Current"),1),""))</x:f>
      </x:c>
      <x:c r="I159" s="38" t="str">
        <x:f>IF($A159="","",IFERROR(INDEX(FILTER('Result Review'!$J$5:$J$204,'Result Review'!$D$5:$D$204=$A159,'Result Review'!$R$5:$R$204="Approved Current"),1),""))</x:f>
      </x:c>
      <x:c r="J159" s="38" t="str">
        <x:f>IF($A159="","",IFERROR(INDEX(FILTER('Result Review'!$K$5:$K$204,'Result Review'!$D$5:$D$204=$A159,'Result Review'!$R$5:$R$204="Approved Current"),1),""))</x:f>
      </x:c>
      <x:c r="K159" s="38" t="str">
        <x:f>IF($A159="","",IFERROR(INDEX(FILTER('Result Review'!$Z$5:$Z$204,'Result Review'!$D$5:$D$204=$A159,'Result Review'!$R$5:$R$204="Approved Current"),1),""))</x:f>
      </x:c>
      <x:c r="L159" s="60" t="str">
        <x:f>IF($A159="","",IFERROR(INDEX(FILTER('Result Review'!$L$5:$L$204,'Result Review'!$D$5:$D$204=$A159,'Result Review'!$R$5:$R$204="Approved Current"),1),""))</x:f>
      </x:c>
      <x:c r="M159" s="38" t="str">
        <x:f>IF($A159="","",IFERROR(INDEX(FILTER('Result Review'!$B$5:$B$204,'Result Review'!$D$5:$D$204=$A159,'Result Review'!$R$5:$R$204="Approved Current"),1),""))</x:f>
      </x:c>
      <x:c r="N159" s="38" t="str">
        <x:f>IF($A159="","","Approved Current")</x:f>
      </x:c>
      <x:c r="O159" s="49" t="str">
        <x:f>IF($A159="","","Derived from Result Review row "&amp;M159)</x:f>
      </x:c>
    </x:row>
    <x:row r="160" ht="15" hidden="0" customHeight="1">
      <x:c r="A160" s="48" t="str">
        <x:f>IF(Fixtures!A160="","",IF(COUNTIFS('Result Review'!$D$5:$D$204,Fixtures!A160,'Result Review'!$R$5:$R$204,"Approved Current")=1,Fixtures!A160,""))</x:f>
      </x:c>
      <x:c r="B160" s="38" t="str">
        <x:f>IF($A160="","",XLOOKUP($A160,Fixtures!$A$5:$A$204,Fixtures!$B$5:$B$204,""))</x:f>
      </x:c>
      <x:c r="C160" s="38" t="str">
        <x:f>IF($A160="","",XLOOKUP($A160,Fixtures!$A$5:$A$204,Fixtures!$D$5:$D$204,""))</x:f>
      </x:c>
      <x:c r="D160" s="38" t="str">
        <x:f>IF($A160="","",XLOOKUP($A160,Fixtures!$A$5:$A$204,Fixtures!$E$5:$E$204,""))</x:f>
      </x:c>
      <x:c r="E160" s="38" t="str">
        <x:f>IF($A160="","",XLOOKUP($A160,Fixtures!$A$5:$A$204,Fixtures!$F$5:$F$204,""))</x:f>
      </x:c>
      <x:c r="F160" s="38" t="str">
        <x:f>IF($A160="","",XLOOKUP($A160,Fixtures!$A$5:$A$204,Fixtures!$G$5:$G$204,""))</x:f>
      </x:c>
      <x:c r="G160" s="38" t="str">
        <x:f>IF($A160="","",IFERROR(INDEX(FILTER('Result Review'!$X$5:$X$204,'Result Review'!$D$5:$D$204=$A160,'Result Review'!$R$5:$R$204="Approved Current"),1),""))</x:f>
      </x:c>
      <x:c r="H160" s="38" t="str">
        <x:f>IF($A160="","",IFERROR(INDEX(FILTER('Result Review'!$Y$5:$Y$204,'Result Review'!$D$5:$D$204=$A160,'Result Review'!$R$5:$R$204="Approved Current"),1),""))</x:f>
      </x:c>
      <x:c r="I160" s="38" t="str">
        <x:f>IF($A160="","",IFERROR(INDEX(FILTER('Result Review'!$J$5:$J$204,'Result Review'!$D$5:$D$204=$A160,'Result Review'!$R$5:$R$204="Approved Current"),1),""))</x:f>
      </x:c>
      <x:c r="J160" s="38" t="str">
        <x:f>IF($A160="","",IFERROR(INDEX(FILTER('Result Review'!$K$5:$K$204,'Result Review'!$D$5:$D$204=$A160,'Result Review'!$R$5:$R$204="Approved Current"),1),""))</x:f>
      </x:c>
      <x:c r="K160" s="38" t="str">
        <x:f>IF($A160="","",IFERROR(INDEX(FILTER('Result Review'!$Z$5:$Z$204,'Result Review'!$D$5:$D$204=$A160,'Result Review'!$R$5:$R$204="Approved Current"),1),""))</x:f>
      </x:c>
      <x:c r="L160" s="60" t="str">
        <x:f>IF($A160="","",IFERROR(INDEX(FILTER('Result Review'!$L$5:$L$204,'Result Review'!$D$5:$D$204=$A160,'Result Review'!$R$5:$R$204="Approved Current"),1),""))</x:f>
      </x:c>
      <x:c r="M160" s="38" t="str">
        <x:f>IF($A160="","",IFERROR(INDEX(FILTER('Result Review'!$B$5:$B$204,'Result Review'!$D$5:$D$204=$A160,'Result Review'!$R$5:$R$204="Approved Current"),1),""))</x:f>
      </x:c>
      <x:c r="N160" s="38" t="str">
        <x:f>IF($A160="","","Approved Current")</x:f>
      </x:c>
      <x:c r="O160" s="49" t="str">
        <x:f>IF($A160="","","Derived from Result Review row "&amp;M160)</x:f>
      </x:c>
    </x:row>
    <x:row r="161" ht="15" hidden="0" customHeight="1">
      <x:c r="A161" s="48" t="str">
        <x:f>IF(Fixtures!A161="","",IF(COUNTIFS('Result Review'!$D$5:$D$204,Fixtures!A161,'Result Review'!$R$5:$R$204,"Approved Current")=1,Fixtures!A161,""))</x:f>
      </x:c>
      <x:c r="B161" s="38" t="str">
        <x:f>IF($A161="","",XLOOKUP($A161,Fixtures!$A$5:$A$204,Fixtures!$B$5:$B$204,""))</x:f>
      </x:c>
      <x:c r="C161" s="38" t="str">
        <x:f>IF($A161="","",XLOOKUP($A161,Fixtures!$A$5:$A$204,Fixtures!$D$5:$D$204,""))</x:f>
      </x:c>
      <x:c r="D161" s="38" t="str">
        <x:f>IF($A161="","",XLOOKUP($A161,Fixtures!$A$5:$A$204,Fixtures!$E$5:$E$204,""))</x:f>
      </x:c>
      <x:c r="E161" s="38" t="str">
        <x:f>IF($A161="","",XLOOKUP($A161,Fixtures!$A$5:$A$204,Fixtures!$F$5:$F$204,""))</x:f>
      </x:c>
      <x:c r="F161" s="38" t="str">
        <x:f>IF($A161="","",XLOOKUP($A161,Fixtures!$A$5:$A$204,Fixtures!$G$5:$G$204,""))</x:f>
      </x:c>
      <x:c r="G161" s="38" t="str">
        <x:f>IF($A161="","",IFERROR(INDEX(FILTER('Result Review'!$X$5:$X$204,'Result Review'!$D$5:$D$204=$A161,'Result Review'!$R$5:$R$204="Approved Current"),1),""))</x:f>
      </x:c>
      <x:c r="H161" s="38" t="str">
        <x:f>IF($A161="","",IFERROR(INDEX(FILTER('Result Review'!$Y$5:$Y$204,'Result Review'!$D$5:$D$204=$A161,'Result Review'!$R$5:$R$204="Approved Current"),1),""))</x:f>
      </x:c>
      <x:c r="I161" s="38" t="str">
        <x:f>IF($A161="","",IFERROR(INDEX(FILTER('Result Review'!$J$5:$J$204,'Result Review'!$D$5:$D$204=$A161,'Result Review'!$R$5:$R$204="Approved Current"),1),""))</x:f>
      </x:c>
      <x:c r="J161" s="38" t="str">
        <x:f>IF($A161="","",IFERROR(INDEX(FILTER('Result Review'!$K$5:$K$204,'Result Review'!$D$5:$D$204=$A161,'Result Review'!$R$5:$R$204="Approved Current"),1),""))</x:f>
      </x:c>
      <x:c r="K161" s="38" t="str">
        <x:f>IF($A161="","",IFERROR(INDEX(FILTER('Result Review'!$Z$5:$Z$204,'Result Review'!$D$5:$D$204=$A161,'Result Review'!$R$5:$R$204="Approved Current"),1),""))</x:f>
      </x:c>
      <x:c r="L161" s="60" t="str">
        <x:f>IF($A161="","",IFERROR(INDEX(FILTER('Result Review'!$L$5:$L$204,'Result Review'!$D$5:$D$204=$A161,'Result Review'!$R$5:$R$204="Approved Current"),1),""))</x:f>
      </x:c>
      <x:c r="M161" s="38" t="str">
        <x:f>IF($A161="","",IFERROR(INDEX(FILTER('Result Review'!$B$5:$B$204,'Result Review'!$D$5:$D$204=$A161,'Result Review'!$R$5:$R$204="Approved Current"),1),""))</x:f>
      </x:c>
      <x:c r="N161" s="38" t="str">
        <x:f>IF($A161="","","Approved Current")</x:f>
      </x:c>
      <x:c r="O161" s="49" t="str">
        <x:f>IF($A161="","","Derived from Result Review row "&amp;M161)</x:f>
      </x:c>
    </x:row>
    <x:row r="162" ht="15" hidden="0" customHeight="1">
      <x:c r="A162" s="48" t="str">
        <x:f>IF(Fixtures!A162="","",IF(COUNTIFS('Result Review'!$D$5:$D$204,Fixtures!A162,'Result Review'!$R$5:$R$204,"Approved Current")=1,Fixtures!A162,""))</x:f>
      </x:c>
      <x:c r="B162" s="38" t="str">
        <x:f>IF($A162="","",XLOOKUP($A162,Fixtures!$A$5:$A$204,Fixtures!$B$5:$B$204,""))</x:f>
      </x:c>
      <x:c r="C162" s="38" t="str">
        <x:f>IF($A162="","",XLOOKUP($A162,Fixtures!$A$5:$A$204,Fixtures!$D$5:$D$204,""))</x:f>
      </x:c>
      <x:c r="D162" s="38" t="str">
        <x:f>IF($A162="","",XLOOKUP($A162,Fixtures!$A$5:$A$204,Fixtures!$E$5:$E$204,""))</x:f>
      </x:c>
      <x:c r="E162" s="38" t="str">
        <x:f>IF($A162="","",XLOOKUP($A162,Fixtures!$A$5:$A$204,Fixtures!$F$5:$F$204,""))</x:f>
      </x:c>
      <x:c r="F162" s="38" t="str">
        <x:f>IF($A162="","",XLOOKUP($A162,Fixtures!$A$5:$A$204,Fixtures!$G$5:$G$204,""))</x:f>
      </x:c>
      <x:c r="G162" s="38" t="str">
        <x:f>IF($A162="","",IFERROR(INDEX(FILTER('Result Review'!$X$5:$X$204,'Result Review'!$D$5:$D$204=$A162,'Result Review'!$R$5:$R$204="Approved Current"),1),""))</x:f>
      </x:c>
      <x:c r="H162" s="38" t="str">
        <x:f>IF($A162="","",IFERROR(INDEX(FILTER('Result Review'!$Y$5:$Y$204,'Result Review'!$D$5:$D$204=$A162,'Result Review'!$R$5:$R$204="Approved Current"),1),""))</x:f>
      </x:c>
      <x:c r="I162" s="38" t="str">
        <x:f>IF($A162="","",IFERROR(INDEX(FILTER('Result Review'!$J$5:$J$204,'Result Review'!$D$5:$D$204=$A162,'Result Review'!$R$5:$R$204="Approved Current"),1),""))</x:f>
      </x:c>
      <x:c r="J162" s="38" t="str">
        <x:f>IF($A162="","",IFERROR(INDEX(FILTER('Result Review'!$K$5:$K$204,'Result Review'!$D$5:$D$204=$A162,'Result Review'!$R$5:$R$204="Approved Current"),1),""))</x:f>
      </x:c>
      <x:c r="K162" s="38" t="str">
        <x:f>IF($A162="","",IFERROR(INDEX(FILTER('Result Review'!$Z$5:$Z$204,'Result Review'!$D$5:$D$204=$A162,'Result Review'!$R$5:$R$204="Approved Current"),1),""))</x:f>
      </x:c>
      <x:c r="L162" s="60" t="str">
        <x:f>IF($A162="","",IFERROR(INDEX(FILTER('Result Review'!$L$5:$L$204,'Result Review'!$D$5:$D$204=$A162,'Result Review'!$R$5:$R$204="Approved Current"),1),""))</x:f>
      </x:c>
      <x:c r="M162" s="38" t="str">
        <x:f>IF($A162="","",IFERROR(INDEX(FILTER('Result Review'!$B$5:$B$204,'Result Review'!$D$5:$D$204=$A162,'Result Review'!$R$5:$R$204="Approved Current"),1),""))</x:f>
      </x:c>
      <x:c r="N162" s="38" t="str">
        <x:f>IF($A162="","","Approved Current")</x:f>
      </x:c>
      <x:c r="O162" s="49" t="str">
        <x:f>IF($A162="","","Derived from Result Review row "&amp;M162)</x:f>
      </x:c>
    </x:row>
    <x:row r="163" ht="15" hidden="0" customHeight="1">
      <x:c r="A163" s="48" t="str">
        <x:f>IF(Fixtures!A163="","",IF(COUNTIFS('Result Review'!$D$5:$D$204,Fixtures!A163,'Result Review'!$R$5:$R$204,"Approved Current")=1,Fixtures!A163,""))</x:f>
      </x:c>
      <x:c r="B163" s="38" t="str">
        <x:f>IF($A163="","",XLOOKUP($A163,Fixtures!$A$5:$A$204,Fixtures!$B$5:$B$204,""))</x:f>
      </x:c>
      <x:c r="C163" s="38" t="str">
        <x:f>IF($A163="","",XLOOKUP($A163,Fixtures!$A$5:$A$204,Fixtures!$D$5:$D$204,""))</x:f>
      </x:c>
      <x:c r="D163" s="38" t="str">
        <x:f>IF($A163="","",XLOOKUP($A163,Fixtures!$A$5:$A$204,Fixtures!$E$5:$E$204,""))</x:f>
      </x:c>
      <x:c r="E163" s="38" t="str">
        <x:f>IF($A163="","",XLOOKUP($A163,Fixtures!$A$5:$A$204,Fixtures!$F$5:$F$204,""))</x:f>
      </x:c>
      <x:c r="F163" s="38" t="str">
        <x:f>IF($A163="","",XLOOKUP($A163,Fixtures!$A$5:$A$204,Fixtures!$G$5:$G$204,""))</x:f>
      </x:c>
      <x:c r="G163" s="38" t="str">
        <x:f>IF($A163="","",IFERROR(INDEX(FILTER('Result Review'!$X$5:$X$204,'Result Review'!$D$5:$D$204=$A163,'Result Review'!$R$5:$R$204="Approved Current"),1),""))</x:f>
      </x:c>
      <x:c r="H163" s="38" t="str">
        <x:f>IF($A163="","",IFERROR(INDEX(FILTER('Result Review'!$Y$5:$Y$204,'Result Review'!$D$5:$D$204=$A163,'Result Review'!$R$5:$R$204="Approved Current"),1),""))</x:f>
      </x:c>
      <x:c r="I163" s="38" t="str">
        <x:f>IF($A163="","",IFERROR(INDEX(FILTER('Result Review'!$J$5:$J$204,'Result Review'!$D$5:$D$204=$A163,'Result Review'!$R$5:$R$204="Approved Current"),1),""))</x:f>
      </x:c>
      <x:c r="J163" s="38" t="str">
        <x:f>IF($A163="","",IFERROR(INDEX(FILTER('Result Review'!$K$5:$K$204,'Result Review'!$D$5:$D$204=$A163,'Result Review'!$R$5:$R$204="Approved Current"),1),""))</x:f>
      </x:c>
      <x:c r="K163" s="38" t="str">
        <x:f>IF($A163="","",IFERROR(INDEX(FILTER('Result Review'!$Z$5:$Z$204,'Result Review'!$D$5:$D$204=$A163,'Result Review'!$R$5:$R$204="Approved Current"),1),""))</x:f>
      </x:c>
      <x:c r="L163" s="60" t="str">
        <x:f>IF($A163="","",IFERROR(INDEX(FILTER('Result Review'!$L$5:$L$204,'Result Review'!$D$5:$D$204=$A163,'Result Review'!$R$5:$R$204="Approved Current"),1),""))</x:f>
      </x:c>
      <x:c r="M163" s="38" t="str">
        <x:f>IF($A163="","",IFERROR(INDEX(FILTER('Result Review'!$B$5:$B$204,'Result Review'!$D$5:$D$204=$A163,'Result Review'!$R$5:$R$204="Approved Current"),1),""))</x:f>
      </x:c>
      <x:c r="N163" s="38" t="str">
        <x:f>IF($A163="","","Approved Current")</x:f>
      </x:c>
      <x:c r="O163" s="49" t="str">
        <x:f>IF($A163="","","Derived from Result Review row "&amp;M163)</x:f>
      </x:c>
    </x:row>
    <x:row r="164" ht="15" hidden="0" customHeight="1">
      <x:c r="A164" s="48" t="str">
        <x:f>IF(Fixtures!A164="","",IF(COUNTIFS('Result Review'!$D$5:$D$204,Fixtures!A164,'Result Review'!$R$5:$R$204,"Approved Current")=1,Fixtures!A164,""))</x:f>
      </x:c>
      <x:c r="B164" s="38" t="str">
        <x:f>IF($A164="","",XLOOKUP($A164,Fixtures!$A$5:$A$204,Fixtures!$B$5:$B$204,""))</x:f>
      </x:c>
      <x:c r="C164" s="38" t="str">
        <x:f>IF($A164="","",XLOOKUP($A164,Fixtures!$A$5:$A$204,Fixtures!$D$5:$D$204,""))</x:f>
      </x:c>
      <x:c r="D164" s="38" t="str">
        <x:f>IF($A164="","",XLOOKUP($A164,Fixtures!$A$5:$A$204,Fixtures!$E$5:$E$204,""))</x:f>
      </x:c>
      <x:c r="E164" s="38" t="str">
        <x:f>IF($A164="","",XLOOKUP($A164,Fixtures!$A$5:$A$204,Fixtures!$F$5:$F$204,""))</x:f>
      </x:c>
      <x:c r="F164" s="38" t="str">
        <x:f>IF($A164="","",XLOOKUP($A164,Fixtures!$A$5:$A$204,Fixtures!$G$5:$G$204,""))</x:f>
      </x:c>
      <x:c r="G164" s="38" t="str">
        <x:f>IF($A164="","",IFERROR(INDEX(FILTER('Result Review'!$X$5:$X$204,'Result Review'!$D$5:$D$204=$A164,'Result Review'!$R$5:$R$204="Approved Current"),1),""))</x:f>
      </x:c>
      <x:c r="H164" s="38" t="str">
        <x:f>IF($A164="","",IFERROR(INDEX(FILTER('Result Review'!$Y$5:$Y$204,'Result Review'!$D$5:$D$204=$A164,'Result Review'!$R$5:$R$204="Approved Current"),1),""))</x:f>
      </x:c>
      <x:c r="I164" s="38" t="str">
        <x:f>IF($A164="","",IFERROR(INDEX(FILTER('Result Review'!$J$5:$J$204,'Result Review'!$D$5:$D$204=$A164,'Result Review'!$R$5:$R$204="Approved Current"),1),""))</x:f>
      </x:c>
      <x:c r="J164" s="38" t="str">
        <x:f>IF($A164="","",IFERROR(INDEX(FILTER('Result Review'!$K$5:$K$204,'Result Review'!$D$5:$D$204=$A164,'Result Review'!$R$5:$R$204="Approved Current"),1),""))</x:f>
      </x:c>
      <x:c r="K164" s="38" t="str">
        <x:f>IF($A164="","",IFERROR(INDEX(FILTER('Result Review'!$Z$5:$Z$204,'Result Review'!$D$5:$D$204=$A164,'Result Review'!$R$5:$R$204="Approved Current"),1),""))</x:f>
      </x:c>
      <x:c r="L164" s="60" t="str">
        <x:f>IF($A164="","",IFERROR(INDEX(FILTER('Result Review'!$L$5:$L$204,'Result Review'!$D$5:$D$204=$A164,'Result Review'!$R$5:$R$204="Approved Current"),1),""))</x:f>
      </x:c>
      <x:c r="M164" s="38" t="str">
        <x:f>IF($A164="","",IFERROR(INDEX(FILTER('Result Review'!$B$5:$B$204,'Result Review'!$D$5:$D$204=$A164,'Result Review'!$R$5:$R$204="Approved Current"),1),""))</x:f>
      </x:c>
      <x:c r="N164" s="38" t="str">
        <x:f>IF($A164="","","Approved Current")</x:f>
      </x:c>
      <x:c r="O164" s="49" t="str">
        <x:f>IF($A164="","","Derived from Result Review row "&amp;M164)</x:f>
      </x:c>
    </x:row>
    <x:row r="165" ht="15" hidden="0" customHeight="1">
      <x:c r="A165" s="48" t="str">
        <x:f>IF(Fixtures!A165="","",IF(COUNTIFS('Result Review'!$D$5:$D$204,Fixtures!A165,'Result Review'!$R$5:$R$204,"Approved Current")=1,Fixtures!A165,""))</x:f>
      </x:c>
      <x:c r="B165" s="38" t="str">
        <x:f>IF($A165="","",XLOOKUP($A165,Fixtures!$A$5:$A$204,Fixtures!$B$5:$B$204,""))</x:f>
      </x:c>
      <x:c r="C165" s="38" t="str">
        <x:f>IF($A165="","",XLOOKUP($A165,Fixtures!$A$5:$A$204,Fixtures!$D$5:$D$204,""))</x:f>
      </x:c>
      <x:c r="D165" s="38" t="str">
        <x:f>IF($A165="","",XLOOKUP($A165,Fixtures!$A$5:$A$204,Fixtures!$E$5:$E$204,""))</x:f>
      </x:c>
      <x:c r="E165" s="38" t="str">
        <x:f>IF($A165="","",XLOOKUP($A165,Fixtures!$A$5:$A$204,Fixtures!$F$5:$F$204,""))</x:f>
      </x:c>
      <x:c r="F165" s="38" t="str">
        <x:f>IF($A165="","",XLOOKUP($A165,Fixtures!$A$5:$A$204,Fixtures!$G$5:$G$204,""))</x:f>
      </x:c>
      <x:c r="G165" s="38" t="str">
        <x:f>IF($A165="","",IFERROR(INDEX(FILTER('Result Review'!$X$5:$X$204,'Result Review'!$D$5:$D$204=$A165,'Result Review'!$R$5:$R$204="Approved Current"),1),""))</x:f>
      </x:c>
      <x:c r="H165" s="38" t="str">
        <x:f>IF($A165="","",IFERROR(INDEX(FILTER('Result Review'!$Y$5:$Y$204,'Result Review'!$D$5:$D$204=$A165,'Result Review'!$R$5:$R$204="Approved Current"),1),""))</x:f>
      </x:c>
      <x:c r="I165" s="38" t="str">
        <x:f>IF($A165="","",IFERROR(INDEX(FILTER('Result Review'!$J$5:$J$204,'Result Review'!$D$5:$D$204=$A165,'Result Review'!$R$5:$R$204="Approved Current"),1),""))</x:f>
      </x:c>
      <x:c r="J165" s="38" t="str">
        <x:f>IF($A165="","",IFERROR(INDEX(FILTER('Result Review'!$K$5:$K$204,'Result Review'!$D$5:$D$204=$A165,'Result Review'!$R$5:$R$204="Approved Current"),1),""))</x:f>
      </x:c>
      <x:c r="K165" s="38" t="str">
        <x:f>IF($A165="","",IFERROR(INDEX(FILTER('Result Review'!$Z$5:$Z$204,'Result Review'!$D$5:$D$204=$A165,'Result Review'!$R$5:$R$204="Approved Current"),1),""))</x:f>
      </x:c>
      <x:c r="L165" s="60" t="str">
        <x:f>IF($A165="","",IFERROR(INDEX(FILTER('Result Review'!$L$5:$L$204,'Result Review'!$D$5:$D$204=$A165,'Result Review'!$R$5:$R$204="Approved Current"),1),""))</x:f>
      </x:c>
      <x:c r="M165" s="38" t="str">
        <x:f>IF($A165="","",IFERROR(INDEX(FILTER('Result Review'!$B$5:$B$204,'Result Review'!$D$5:$D$204=$A165,'Result Review'!$R$5:$R$204="Approved Current"),1),""))</x:f>
      </x:c>
      <x:c r="N165" s="38" t="str">
        <x:f>IF($A165="","","Approved Current")</x:f>
      </x:c>
      <x:c r="O165" s="49" t="str">
        <x:f>IF($A165="","","Derived from Result Review row "&amp;M165)</x:f>
      </x:c>
    </x:row>
    <x:row r="166" ht="15" hidden="0" customHeight="1">
      <x:c r="A166" s="48" t="str">
        <x:f>IF(Fixtures!A166="","",IF(COUNTIFS('Result Review'!$D$5:$D$204,Fixtures!A166,'Result Review'!$R$5:$R$204,"Approved Current")=1,Fixtures!A166,""))</x:f>
      </x:c>
      <x:c r="B166" s="38" t="str">
        <x:f>IF($A166="","",XLOOKUP($A166,Fixtures!$A$5:$A$204,Fixtures!$B$5:$B$204,""))</x:f>
      </x:c>
      <x:c r="C166" s="38" t="str">
        <x:f>IF($A166="","",XLOOKUP($A166,Fixtures!$A$5:$A$204,Fixtures!$D$5:$D$204,""))</x:f>
      </x:c>
      <x:c r="D166" s="38" t="str">
        <x:f>IF($A166="","",XLOOKUP($A166,Fixtures!$A$5:$A$204,Fixtures!$E$5:$E$204,""))</x:f>
      </x:c>
      <x:c r="E166" s="38" t="str">
        <x:f>IF($A166="","",XLOOKUP($A166,Fixtures!$A$5:$A$204,Fixtures!$F$5:$F$204,""))</x:f>
      </x:c>
      <x:c r="F166" s="38" t="str">
        <x:f>IF($A166="","",XLOOKUP($A166,Fixtures!$A$5:$A$204,Fixtures!$G$5:$G$204,""))</x:f>
      </x:c>
      <x:c r="G166" s="38" t="str">
        <x:f>IF($A166="","",IFERROR(INDEX(FILTER('Result Review'!$X$5:$X$204,'Result Review'!$D$5:$D$204=$A166,'Result Review'!$R$5:$R$204="Approved Current"),1),""))</x:f>
      </x:c>
      <x:c r="H166" s="38" t="str">
        <x:f>IF($A166="","",IFERROR(INDEX(FILTER('Result Review'!$Y$5:$Y$204,'Result Review'!$D$5:$D$204=$A166,'Result Review'!$R$5:$R$204="Approved Current"),1),""))</x:f>
      </x:c>
      <x:c r="I166" s="38" t="str">
        <x:f>IF($A166="","",IFERROR(INDEX(FILTER('Result Review'!$J$5:$J$204,'Result Review'!$D$5:$D$204=$A166,'Result Review'!$R$5:$R$204="Approved Current"),1),""))</x:f>
      </x:c>
      <x:c r="J166" s="38" t="str">
        <x:f>IF($A166="","",IFERROR(INDEX(FILTER('Result Review'!$K$5:$K$204,'Result Review'!$D$5:$D$204=$A166,'Result Review'!$R$5:$R$204="Approved Current"),1),""))</x:f>
      </x:c>
      <x:c r="K166" s="38" t="str">
        <x:f>IF($A166="","",IFERROR(INDEX(FILTER('Result Review'!$Z$5:$Z$204,'Result Review'!$D$5:$D$204=$A166,'Result Review'!$R$5:$R$204="Approved Current"),1),""))</x:f>
      </x:c>
      <x:c r="L166" s="60" t="str">
        <x:f>IF($A166="","",IFERROR(INDEX(FILTER('Result Review'!$L$5:$L$204,'Result Review'!$D$5:$D$204=$A166,'Result Review'!$R$5:$R$204="Approved Current"),1),""))</x:f>
      </x:c>
      <x:c r="M166" s="38" t="str">
        <x:f>IF($A166="","",IFERROR(INDEX(FILTER('Result Review'!$B$5:$B$204,'Result Review'!$D$5:$D$204=$A166,'Result Review'!$R$5:$R$204="Approved Current"),1),""))</x:f>
      </x:c>
      <x:c r="N166" s="38" t="str">
        <x:f>IF($A166="","","Approved Current")</x:f>
      </x:c>
      <x:c r="O166" s="49" t="str">
        <x:f>IF($A166="","","Derived from Result Review row "&amp;M166)</x:f>
      </x:c>
    </x:row>
    <x:row r="167" ht="15" hidden="0" customHeight="1">
      <x:c r="A167" s="48" t="str">
        <x:f>IF(Fixtures!A167="","",IF(COUNTIFS('Result Review'!$D$5:$D$204,Fixtures!A167,'Result Review'!$R$5:$R$204,"Approved Current")=1,Fixtures!A167,""))</x:f>
      </x:c>
      <x:c r="B167" s="38" t="str">
        <x:f>IF($A167="","",XLOOKUP($A167,Fixtures!$A$5:$A$204,Fixtures!$B$5:$B$204,""))</x:f>
      </x:c>
      <x:c r="C167" s="38" t="str">
        <x:f>IF($A167="","",XLOOKUP($A167,Fixtures!$A$5:$A$204,Fixtures!$D$5:$D$204,""))</x:f>
      </x:c>
      <x:c r="D167" s="38" t="str">
        <x:f>IF($A167="","",XLOOKUP($A167,Fixtures!$A$5:$A$204,Fixtures!$E$5:$E$204,""))</x:f>
      </x:c>
      <x:c r="E167" s="38" t="str">
        <x:f>IF($A167="","",XLOOKUP($A167,Fixtures!$A$5:$A$204,Fixtures!$F$5:$F$204,""))</x:f>
      </x:c>
      <x:c r="F167" s="38" t="str">
        <x:f>IF($A167="","",XLOOKUP($A167,Fixtures!$A$5:$A$204,Fixtures!$G$5:$G$204,""))</x:f>
      </x:c>
      <x:c r="G167" s="38" t="str">
        <x:f>IF($A167="","",IFERROR(INDEX(FILTER('Result Review'!$X$5:$X$204,'Result Review'!$D$5:$D$204=$A167,'Result Review'!$R$5:$R$204="Approved Current"),1),""))</x:f>
      </x:c>
      <x:c r="H167" s="38" t="str">
        <x:f>IF($A167="","",IFERROR(INDEX(FILTER('Result Review'!$Y$5:$Y$204,'Result Review'!$D$5:$D$204=$A167,'Result Review'!$R$5:$R$204="Approved Current"),1),""))</x:f>
      </x:c>
      <x:c r="I167" s="38" t="str">
        <x:f>IF($A167="","",IFERROR(INDEX(FILTER('Result Review'!$J$5:$J$204,'Result Review'!$D$5:$D$204=$A167,'Result Review'!$R$5:$R$204="Approved Current"),1),""))</x:f>
      </x:c>
      <x:c r="J167" s="38" t="str">
        <x:f>IF($A167="","",IFERROR(INDEX(FILTER('Result Review'!$K$5:$K$204,'Result Review'!$D$5:$D$204=$A167,'Result Review'!$R$5:$R$204="Approved Current"),1),""))</x:f>
      </x:c>
      <x:c r="K167" s="38" t="str">
        <x:f>IF($A167="","",IFERROR(INDEX(FILTER('Result Review'!$Z$5:$Z$204,'Result Review'!$D$5:$D$204=$A167,'Result Review'!$R$5:$R$204="Approved Current"),1),""))</x:f>
      </x:c>
      <x:c r="L167" s="60" t="str">
        <x:f>IF($A167="","",IFERROR(INDEX(FILTER('Result Review'!$L$5:$L$204,'Result Review'!$D$5:$D$204=$A167,'Result Review'!$R$5:$R$204="Approved Current"),1),""))</x:f>
      </x:c>
      <x:c r="M167" s="38" t="str">
        <x:f>IF($A167="","",IFERROR(INDEX(FILTER('Result Review'!$B$5:$B$204,'Result Review'!$D$5:$D$204=$A167,'Result Review'!$R$5:$R$204="Approved Current"),1),""))</x:f>
      </x:c>
      <x:c r="N167" s="38" t="str">
        <x:f>IF($A167="","","Approved Current")</x:f>
      </x:c>
      <x:c r="O167" s="49" t="str">
        <x:f>IF($A167="","","Derived from Result Review row "&amp;M167)</x:f>
      </x:c>
    </x:row>
    <x:row r="168" ht="15" hidden="0" customHeight="1">
      <x:c r="A168" s="48" t="str">
        <x:f>IF(Fixtures!A168="","",IF(COUNTIFS('Result Review'!$D$5:$D$204,Fixtures!A168,'Result Review'!$R$5:$R$204,"Approved Current")=1,Fixtures!A168,""))</x:f>
      </x:c>
      <x:c r="B168" s="38" t="str">
        <x:f>IF($A168="","",XLOOKUP($A168,Fixtures!$A$5:$A$204,Fixtures!$B$5:$B$204,""))</x:f>
      </x:c>
      <x:c r="C168" s="38" t="str">
        <x:f>IF($A168="","",XLOOKUP($A168,Fixtures!$A$5:$A$204,Fixtures!$D$5:$D$204,""))</x:f>
      </x:c>
      <x:c r="D168" s="38" t="str">
        <x:f>IF($A168="","",XLOOKUP($A168,Fixtures!$A$5:$A$204,Fixtures!$E$5:$E$204,""))</x:f>
      </x:c>
      <x:c r="E168" s="38" t="str">
        <x:f>IF($A168="","",XLOOKUP($A168,Fixtures!$A$5:$A$204,Fixtures!$F$5:$F$204,""))</x:f>
      </x:c>
      <x:c r="F168" s="38" t="str">
        <x:f>IF($A168="","",XLOOKUP($A168,Fixtures!$A$5:$A$204,Fixtures!$G$5:$G$204,""))</x:f>
      </x:c>
      <x:c r="G168" s="38" t="str">
        <x:f>IF($A168="","",IFERROR(INDEX(FILTER('Result Review'!$X$5:$X$204,'Result Review'!$D$5:$D$204=$A168,'Result Review'!$R$5:$R$204="Approved Current"),1),""))</x:f>
      </x:c>
      <x:c r="H168" s="38" t="str">
        <x:f>IF($A168="","",IFERROR(INDEX(FILTER('Result Review'!$Y$5:$Y$204,'Result Review'!$D$5:$D$204=$A168,'Result Review'!$R$5:$R$204="Approved Current"),1),""))</x:f>
      </x:c>
      <x:c r="I168" s="38" t="str">
        <x:f>IF($A168="","",IFERROR(INDEX(FILTER('Result Review'!$J$5:$J$204,'Result Review'!$D$5:$D$204=$A168,'Result Review'!$R$5:$R$204="Approved Current"),1),""))</x:f>
      </x:c>
      <x:c r="J168" s="38" t="str">
        <x:f>IF($A168="","",IFERROR(INDEX(FILTER('Result Review'!$K$5:$K$204,'Result Review'!$D$5:$D$204=$A168,'Result Review'!$R$5:$R$204="Approved Current"),1),""))</x:f>
      </x:c>
      <x:c r="K168" s="38" t="str">
        <x:f>IF($A168="","",IFERROR(INDEX(FILTER('Result Review'!$Z$5:$Z$204,'Result Review'!$D$5:$D$204=$A168,'Result Review'!$R$5:$R$204="Approved Current"),1),""))</x:f>
      </x:c>
      <x:c r="L168" s="60" t="str">
        <x:f>IF($A168="","",IFERROR(INDEX(FILTER('Result Review'!$L$5:$L$204,'Result Review'!$D$5:$D$204=$A168,'Result Review'!$R$5:$R$204="Approved Current"),1),""))</x:f>
      </x:c>
      <x:c r="M168" s="38" t="str">
        <x:f>IF($A168="","",IFERROR(INDEX(FILTER('Result Review'!$B$5:$B$204,'Result Review'!$D$5:$D$204=$A168,'Result Review'!$R$5:$R$204="Approved Current"),1),""))</x:f>
      </x:c>
      <x:c r="N168" s="38" t="str">
        <x:f>IF($A168="","","Approved Current")</x:f>
      </x:c>
      <x:c r="O168" s="49" t="str">
        <x:f>IF($A168="","","Derived from Result Review row "&amp;M168)</x:f>
      </x:c>
    </x:row>
    <x:row r="169" ht="15" hidden="0" customHeight="1">
      <x:c r="A169" s="48" t="str">
        <x:f>IF(Fixtures!A169="","",IF(COUNTIFS('Result Review'!$D$5:$D$204,Fixtures!A169,'Result Review'!$R$5:$R$204,"Approved Current")=1,Fixtures!A169,""))</x:f>
      </x:c>
      <x:c r="B169" s="38" t="str">
        <x:f>IF($A169="","",XLOOKUP($A169,Fixtures!$A$5:$A$204,Fixtures!$B$5:$B$204,""))</x:f>
      </x:c>
      <x:c r="C169" s="38" t="str">
        <x:f>IF($A169="","",XLOOKUP($A169,Fixtures!$A$5:$A$204,Fixtures!$D$5:$D$204,""))</x:f>
      </x:c>
      <x:c r="D169" s="38" t="str">
        <x:f>IF($A169="","",XLOOKUP($A169,Fixtures!$A$5:$A$204,Fixtures!$E$5:$E$204,""))</x:f>
      </x:c>
      <x:c r="E169" s="38" t="str">
        <x:f>IF($A169="","",XLOOKUP($A169,Fixtures!$A$5:$A$204,Fixtures!$F$5:$F$204,""))</x:f>
      </x:c>
      <x:c r="F169" s="38" t="str">
        <x:f>IF($A169="","",XLOOKUP($A169,Fixtures!$A$5:$A$204,Fixtures!$G$5:$G$204,""))</x:f>
      </x:c>
      <x:c r="G169" s="38" t="str">
        <x:f>IF($A169="","",IFERROR(INDEX(FILTER('Result Review'!$X$5:$X$204,'Result Review'!$D$5:$D$204=$A169,'Result Review'!$R$5:$R$204="Approved Current"),1),""))</x:f>
      </x:c>
      <x:c r="H169" s="38" t="str">
        <x:f>IF($A169="","",IFERROR(INDEX(FILTER('Result Review'!$Y$5:$Y$204,'Result Review'!$D$5:$D$204=$A169,'Result Review'!$R$5:$R$204="Approved Current"),1),""))</x:f>
      </x:c>
      <x:c r="I169" s="38" t="str">
        <x:f>IF($A169="","",IFERROR(INDEX(FILTER('Result Review'!$J$5:$J$204,'Result Review'!$D$5:$D$204=$A169,'Result Review'!$R$5:$R$204="Approved Current"),1),""))</x:f>
      </x:c>
      <x:c r="J169" s="38" t="str">
        <x:f>IF($A169="","",IFERROR(INDEX(FILTER('Result Review'!$K$5:$K$204,'Result Review'!$D$5:$D$204=$A169,'Result Review'!$R$5:$R$204="Approved Current"),1),""))</x:f>
      </x:c>
      <x:c r="K169" s="38" t="str">
        <x:f>IF($A169="","",IFERROR(INDEX(FILTER('Result Review'!$Z$5:$Z$204,'Result Review'!$D$5:$D$204=$A169,'Result Review'!$R$5:$R$204="Approved Current"),1),""))</x:f>
      </x:c>
      <x:c r="L169" s="60" t="str">
        <x:f>IF($A169="","",IFERROR(INDEX(FILTER('Result Review'!$L$5:$L$204,'Result Review'!$D$5:$D$204=$A169,'Result Review'!$R$5:$R$204="Approved Current"),1),""))</x:f>
      </x:c>
      <x:c r="M169" s="38" t="str">
        <x:f>IF($A169="","",IFERROR(INDEX(FILTER('Result Review'!$B$5:$B$204,'Result Review'!$D$5:$D$204=$A169,'Result Review'!$R$5:$R$204="Approved Current"),1),""))</x:f>
      </x:c>
      <x:c r="N169" s="38" t="str">
        <x:f>IF($A169="","","Approved Current")</x:f>
      </x:c>
      <x:c r="O169" s="49" t="str">
        <x:f>IF($A169="","","Derived from Result Review row "&amp;M169)</x:f>
      </x:c>
    </x:row>
    <x:row r="170" ht="15" hidden="0" customHeight="1">
      <x:c r="A170" s="48" t="str">
        <x:f>IF(Fixtures!A170="","",IF(COUNTIFS('Result Review'!$D$5:$D$204,Fixtures!A170,'Result Review'!$R$5:$R$204,"Approved Current")=1,Fixtures!A170,""))</x:f>
      </x:c>
      <x:c r="B170" s="38" t="str">
        <x:f>IF($A170="","",XLOOKUP($A170,Fixtures!$A$5:$A$204,Fixtures!$B$5:$B$204,""))</x:f>
      </x:c>
      <x:c r="C170" s="38" t="str">
        <x:f>IF($A170="","",XLOOKUP($A170,Fixtures!$A$5:$A$204,Fixtures!$D$5:$D$204,""))</x:f>
      </x:c>
      <x:c r="D170" s="38" t="str">
        <x:f>IF($A170="","",XLOOKUP($A170,Fixtures!$A$5:$A$204,Fixtures!$E$5:$E$204,""))</x:f>
      </x:c>
      <x:c r="E170" s="38" t="str">
        <x:f>IF($A170="","",XLOOKUP($A170,Fixtures!$A$5:$A$204,Fixtures!$F$5:$F$204,""))</x:f>
      </x:c>
      <x:c r="F170" s="38" t="str">
        <x:f>IF($A170="","",XLOOKUP($A170,Fixtures!$A$5:$A$204,Fixtures!$G$5:$G$204,""))</x:f>
      </x:c>
      <x:c r="G170" s="38" t="str">
        <x:f>IF($A170="","",IFERROR(INDEX(FILTER('Result Review'!$X$5:$X$204,'Result Review'!$D$5:$D$204=$A170,'Result Review'!$R$5:$R$204="Approved Current"),1),""))</x:f>
      </x:c>
      <x:c r="H170" s="38" t="str">
        <x:f>IF($A170="","",IFERROR(INDEX(FILTER('Result Review'!$Y$5:$Y$204,'Result Review'!$D$5:$D$204=$A170,'Result Review'!$R$5:$R$204="Approved Current"),1),""))</x:f>
      </x:c>
      <x:c r="I170" s="38" t="str">
        <x:f>IF($A170="","",IFERROR(INDEX(FILTER('Result Review'!$J$5:$J$204,'Result Review'!$D$5:$D$204=$A170,'Result Review'!$R$5:$R$204="Approved Current"),1),""))</x:f>
      </x:c>
      <x:c r="J170" s="38" t="str">
        <x:f>IF($A170="","",IFERROR(INDEX(FILTER('Result Review'!$K$5:$K$204,'Result Review'!$D$5:$D$204=$A170,'Result Review'!$R$5:$R$204="Approved Current"),1),""))</x:f>
      </x:c>
      <x:c r="K170" s="38" t="str">
        <x:f>IF($A170="","",IFERROR(INDEX(FILTER('Result Review'!$Z$5:$Z$204,'Result Review'!$D$5:$D$204=$A170,'Result Review'!$R$5:$R$204="Approved Current"),1),""))</x:f>
      </x:c>
      <x:c r="L170" s="60" t="str">
        <x:f>IF($A170="","",IFERROR(INDEX(FILTER('Result Review'!$L$5:$L$204,'Result Review'!$D$5:$D$204=$A170,'Result Review'!$R$5:$R$204="Approved Current"),1),""))</x:f>
      </x:c>
      <x:c r="M170" s="38" t="str">
        <x:f>IF($A170="","",IFERROR(INDEX(FILTER('Result Review'!$B$5:$B$204,'Result Review'!$D$5:$D$204=$A170,'Result Review'!$R$5:$R$204="Approved Current"),1),""))</x:f>
      </x:c>
      <x:c r="N170" s="38" t="str">
        <x:f>IF($A170="","","Approved Current")</x:f>
      </x:c>
      <x:c r="O170" s="49" t="str">
        <x:f>IF($A170="","","Derived from Result Review row "&amp;M170)</x:f>
      </x:c>
    </x:row>
    <x:row r="171" ht="15" hidden="0" customHeight="1">
      <x:c r="A171" s="48" t="str">
        <x:f>IF(Fixtures!A171="","",IF(COUNTIFS('Result Review'!$D$5:$D$204,Fixtures!A171,'Result Review'!$R$5:$R$204,"Approved Current")=1,Fixtures!A171,""))</x:f>
      </x:c>
      <x:c r="B171" s="38" t="str">
        <x:f>IF($A171="","",XLOOKUP($A171,Fixtures!$A$5:$A$204,Fixtures!$B$5:$B$204,""))</x:f>
      </x:c>
      <x:c r="C171" s="38" t="str">
        <x:f>IF($A171="","",XLOOKUP($A171,Fixtures!$A$5:$A$204,Fixtures!$D$5:$D$204,""))</x:f>
      </x:c>
      <x:c r="D171" s="38" t="str">
        <x:f>IF($A171="","",XLOOKUP($A171,Fixtures!$A$5:$A$204,Fixtures!$E$5:$E$204,""))</x:f>
      </x:c>
      <x:c r="E171" s="38" t="str">
        <x:f>IF($A171="","",XLOOKUP($A171,Fixtures!$A$5:$A$204,Fixtures!$F$5:$F$204,""))</x:f>
      </x:c>
      <x:c r="F171" s="38" t="str">
        <x:f>IF($A171="","",XLOOKUP($A171,Fixtures!$A$5:$A$204,Fixtures!$G$5:$G$204,""))</x:f>
      </x:c>
      <x:c r="G171" s="38" t="str">
        <x:f>IF($A171="","",IFERROR(INDEX(FILTER('Result Review'!$X$5:$X$204,'Result Review'!$D$5:$D$204=$A171,'Result Review'!$R$5:$R$204="Approved Current"),1),""))</x:f>
      </x:c>
      <x:c r="H171" s="38" t="str">
        <x:f>IF($A171="","",IFERROR(INDEX(FILTER('Result Review'!$Y$5:$Y$204,'Result Review'!$D$5:$D$204=$A171,'Result Review'!$R$5:$R$204="Approved Current"),1),""))</x:f>
      </x:c>
      <x:c r="I171" s="38" t="str">
        <x:f>IF($A171="","",IFERROR(INDEX(FILTER('Result Review'!$J$5:$J$204,'Result Review'!$D$5:$D$204=$A171,'Result Review'!$R$5:$R$204="Approved Current"),1),""))</x:f>
      </x:c>
      <x:c r="J171" s="38" t="str">
        <x:f>IF($A171="","",IFERROR(INDEX(FILTER('Result Review'!$K$5:$K$204,'Result Review'!$D$5:$D$204=$A171,'Result Review'!$R$5:$R$204="Approved Current"),1),""))</x:f>
      </x:c>
      <x:c r="K171" s="38" t="str">
        <x:f>IF($A171="","",IFERROR(INDEX(FILTER('Result Review'!$Z$5:$Z$204,'Result Review'!$D$5:$D$204=$A171,'Result Review'!$R$5:$R$204="Approved Current"),1),""))</x:f>
      </x:c>
      <x:c r="L171" s="60" t="str">
        <x:f>IF($A171="","",IFERROR(INDEX(FILTER('Result Review'!$L$5:$L$204,'Result Review'!$D$5:$D$204=$A171,'Result Review'!$R$5:$R$204="Approved Current"),1),""))</x:f>
      </x:c>
      <x:c r="M171" s="38" t="str">
        <x:f>IF($A171="","",IFERROR(INDEX(FILTER('Result Review'!$B$5:$B$204,'Result Review'!$D$5:$D$204=$A171,'Result Review'!$R$5:$R$204="Approved Current"),1),""))</x:f>
      </x:c>
      <x:c r="N171" s="38" t="str">
        <x:f>IF($A171="","","Approved Current")</x:f>
      </x:c>
      <x:c r="O171" s="49" t="str">
        <x:f>IF($A171="","","Derived from Result Review row "&amp;M171)</x:f>
      </x:c>
    </x:row>
    <x:row r="172" ht="15" hidden="0" customHeight="1">
      <x:c r="A172" s="48" t="str">
        <x:f>IF(Fixtures!A172="","",IF(COUNTIFS('Result Review'!$D$5:$D$204,Fixtures!A172,'Result Review'!$R$5:$R$204,"Approved Current")=1,Fixtures!A172,""))</x:f>
      </x:c>
      <x:c r="B172" s="38" t="str">
        <x:f>IF($A172="","",XLOOKUP($A172,Fixtures!$A$5:$A$204,Fixtures!$B$5:$B$204,""))</x:f>
      </x:c>
      <x:c r="C172" s="38" t="str">
        <x:f>IF($A172="","",XLOOKUP($A172,Fixtures!$A$5:$A$204,Fixtures!$D$5:$D$204,""))</x:f>
      </x:c>
      <x:c r="D172" s="38" t="str">
        <x:f>IF($A172="","",XLOOKUP($A172,Fixtures!$A$5:$A$204,Fixtures!$E$5:$E$204,""))</x:f>
      </x:c>
      <x:c r="E172" s="38" t="str">
        <x:f>IF($A172="","",XLOOKUP($A172,Fixtures!$A$5:$A$204,Fixtures!$F$5:$F$204,""))</x:f>
      </x:c>
      <x:c r="F172" s="38" t="str">
        <x:f>IF($A172="","",XLOOKUP($A172,Fixtures!$A$5:$A$204,Fixtures!$G$5:$G$204,""))</x:f>
      </x:c>
      <x:c r="G172" s="38" t="str">
        <x:f>IF($A172="","",IFERROR(INDEX(FILTER('Result Review'!$X$5:$X$204,'Result Review'!$D$5:$D$204=$A172,'Result Review'!$R$5:$R$204="Approved Current"),1),""))</x:f>
      </x:c>
      <x:c r="H172" s="38" t="str">
        <x:f>IF($A172="","",IFERROR(INDEX(FILTER('Result Review'!$Y$5:$Y$204,'Result Review'!$D$5:$D$204=$A172,'Result Review'!$R$5:$R$204="Approved Current"),1),""))</x:f>
      </x:c>
      <x:c r="I172" s="38" t="str">
        <x:f>IF($A172="","",IFERROR(INDEX(FILTER('Result Review'!$J$5:$J$204,'Result Review'!$D$5:$D$204=$A172,'Result Review'!$R$5:$R$204="Approved Current"),1),""))</x:f>
      </x:c>
      <x:c r="J172" s="38" t="str">
        <x:f>IF($A172="","",IFERROR(INDEX(FILTER('Result Review'!$K$5:$K$204,'Result Review'!$D$5:$D$204=$A172,'Result Review'!$R$5:$R$204="Approved Current"),1),""))</x:f>
      </x:c>
      <x:c r="K172" s="38" t="str">
        <x:f>IF($A172="","",IFERROR(INDEX(FILTER('Result Review'!$Z$5:$Z$204,'Result Review'!$D$5:$D$204=$A172,'Result Review'!$R$5:$R$204="Approved Current"),1),""))</x:f>
      </x:c>
      <x:c r="L172" s="60" t="str">
        <x:f>IF($A172="","",IFERROR(INDEX(FILTER('Result Review'!$L$5:$L$204,'Result Review'!$D$5:$D$204=$A172,'Result Review'!$R$5:$R$204="Approved Current"),1),""))</x:f>
      </x:c>
      <x:c r="M172" s="38" t="str">
        <x:f>IF($A172="","",IFERROR(INDEX(FILTER('Result Review'!$B$5:$B$204,'Result Review'!$D$5:$D$204=$A172,'Result Review'!$R$5:$R$204="Approved Current"),1),""))</x:f>
      </x:c>
      <x:c r="N172" s="38" t="str">
        <x:f>IF($A172="","","Approved Current")</x:f>
      </x:c>
      <x:c r="O172" s="49" t="str">
        <x:f>IF($A172="","","Derived from Result Review row "&amp;M172)</x:f>
      </x:c>
    </x:row>
    <x:row r="173" ht="15" hidden="0" customHeight="1">
      <x:c r="A173" s="48" t="str">
        <x:f>IF(Fixtures!A173="","",IF(COUNTIFS('Result Review'!$D$5:$D$204,Fixtures!A173,'Result Review'!$R$5:$R$204,"Approved Current")=1,Fixtures!A173,""))</x:f>
      </x:c>
      <x:c r="B173" s="38" t="str">
        <x:f>IF($A173="","",XLOOKUP($A173,Fixtures!$A$5:$A$204,Fixtures!$B$5:$B$204,""))</x:f>
      </x:c>
      <x:c r="C173" s="38" t="str">
        <x:f>IF($A173="","",XLOOKUP($A173,Fixtures!$A$5:$A$204,Fixtures!$D$5:$D$204,""))</x:f>
      </x:c>
      <x:c r="D173" s="38" t="str">
        <x:f>IF($A173="","",XLOOKUP($A173,Fixtures!$A$5:$A$204,Fixtures!$E$5:$E$204,""))</x:f>
      </x:c>
      <x:c r="E173" s="38" t="str">
        <x:f>IF($A173="","",XLOOKUP($A173,Fixtures!$A$5:$A$204,Fixtures!$F$5:$F$204,""))</x:f>
      </x:c>
      <x:c r="F173" s="38" t="str">
        <x:f>IF($A173="","",XLOOKUP($A173,Fixtures!$A$5:$A$204,Fixtures!$G$5:$G$204,""))</x:f>
      </x:c>
      <x:c r="G173" s="38" t="str">
        <x:f>IF($A173="","",IFERROR(INDEX(FILTER('Result Review'!$X$5:$X$204,'Result Review'!$D$5:$D$204=$A173,'Result Review'!$R$5:$R$204="Approved Current"),1),""))</x:f>
      </x:c>
      <x:c r="H173" s="38" t="str">
        <x:f>IF($A173="","",IFERROR(INDEX(FILTER('Result Review'!$Y$5:$Y$204,'Result Review'!$D$5:$D$204=$A173,'Result Review'!$R$5:$R$204="Approved Current"),1),""))</x:f>
      </x:c>
      <x:c r="I173" s="38" t="str">
        <x:f>IF($A173="","",IFERROR(INDEX(FILTER('Result Review'!$J$5:$J$204,'Result Review'!$D$5:$D$204=$A173,'Result Review'!$R$5:$R$204="Approved Current"),1),""))</x:f>
      </x:c>
      <x:c r="J173" s="38" t="str">
        <x:f>IF($A173="","",IFERROR(INDEX(FILTER('Result Review'!$K$5:$K$204,'Result Review'!$D$5:$D$204=$A173,'Result Review'!$R$5:$R$204="Approved Current"),1),""))</x:f>
      </x:c>
      <x:c r="K173" s="38" t="str">
        <x:f>IF($A173="","",IFERROR(INDEX(FILTER('Result Review'!$Z$5:$Z$204,'Result Review'!$D$5:$D$204=$A173,'Result Review'!$R$5:$R$204="Approved Current"),1),""))</x:f>
      </x:c>
      <x:c r="L173" s="60" t="str">
        <x:f>IF($A173="","",IFERROR(INDEX(FILTER('Result Review'!$L$5:$L$204,'Result Review'!$D$5:$D$204=$A173,'Result Review'!$R$5:$R$204="Approved Current"),1),""))</x:f>
      </x:c>
      <x:c r="M173" s="38" t="str">
        <x:f>IF($A173="","",IFERROR(INDEX(FILTER('Result Review'!$B$5:$B$204,'Result Review'!$D$5:$D$204=$A173,'Result Review'!$R$5:$R$204="Approved Current"),1),""))</x:f>
      </x:c>
      <x:c r="N173" s="38" t="str">
        <x:f>IF($A173="","","Approved Current")</x:f>
      </x:c>
      <x:c r="O173" s="49" t="str">
        <x:f>IF($A173="","","Derived from Result Review row "&amp;M173)</x:f>
      </x:c>
    </x:row>
    <x:row r="174" ht="15" hidden="0" customHeight="1">
      <x:c r="A174" s="48" t="str">
        <x:f>IF(Fixtures!A174="","",IF(COUNTIFS('Result Review'!$D$5:$D$204,Fixtures!A174,'Result Review'!$R$5:$R$204,"Approved Current")=1,Fixtures!A174,""))</x:f>
      </x:c>
      <x:c r="B174" s="38" t="str">
        <x:f>IF($A174="","",XLOOKUP($A174,Fixtures!$A$5:$A$204,Fixtures!$B$5:$B$204,""))</x:f>
      </x:c>
      <x:c r="C174" s="38" t="str">
        <x:f>IF($A174="","",XLOOKUP($A174,Fixtures!$A$5:$A$204,Fixtures!$D$5:$D$204,""))</x:f>
      </x:c>
      <x:c r="D174" s="38" t="str">
        <x:f>IF($A174="","",XLOOKUP($A174,Fixtures!$A$5:$A$204,Fixtures!$E$5:$E$204,""))</x:f>
      </x:c>
      <x:c r="E174" s="38" t="str">
        <x:f>IF($A174="","",XLOOKUP($A174,Fixtures!$A$5:$A$204,Fixtures!$F$5:$F$204,""))</x:f>
      </x:c>
      <x:c r="F174" s="38" t="str">
        <x:f>IF($A174="","",XLOOKUP($A174,Fixtures!$A$5:$A$204,Fixtures!$G$5:$G$204,""))</x:f>
      </x:c>
      <x:c r="G174" s="38" t="str">
        <x:f>IF($A174="","",IFERROR(INDEX(FILTER('Result Review'!$X$5:$X$204,'Result Review'!$D$5:$D$204=$A174,'Result Review'!$R$5:$R$204="Approved Current"),1),""))</x:f>
      </x:c>
      <x:c r="H174" s="38" t="str">
        <x:f>IF($A174="","",IFERROR(INDEX(FILTER('Result Review'!$Y$5:$Y$204,'Result Review'!$D$5:$D$204=$A174,'Result Review'!$R$5:$R$204="Approved Current"),1),""))</x:f>
      </x:c>
      <x:c r="I174" s="38" t="str">
        <x:f>IF($A174="","",IFERROR(INDEX(FILTER('Result Review'!$J$5:$J$204,'Result Review'!$D$5:$D$204=$A174,'Result Review'!$R$5:$R$204="Approved Current"),1),""))</x:f>
      </x:c>
      <x:c r="J174" s="38" t="str">
        <x:f>IF($A174="","",IFERROR(INDEX(FILTER('Result Review'!$K$5:$K$204,'Result Review'!$D$5:$D$204=$A174,'Result Review'!$R$5:$R$204="Approved Current"),1),""))</x:f>
      </x:c>
      <x:c r="K174" s="38" t="str">
        <x:f>IF($A174="","",IFERROR(INDEX(FILTER('Result Review'!$Z$5:$Z$204,'Result Review'!$D$5:$D$204=$A174,'Result Review'!$R$5:$R$204="Approved Current"),1),""))</x:f>
      </x:c>
      <x:c r="L174" s="60" t="str">
        <x:f>IF($A174="","",IFERROR(INDEX(FILTER('Result Review'!$L$5:$L$204,'Result Review'!$D$5:$D$204=$A174,'Result Review'!$R$5:$R$204="Approved Current"),1),""))</x:f>
      </x:c>
      <x:c r="M174" s="38" t="str">
        <x:f>IF($A174="","",IFERROR(INDEX(FILTER('Result Review'!$B$5:$B$204,'Result Review'!$D$5:$D$204=$A174,'Result Review'!$R$5:$R$204="Approved Current"),1),""))</x:f>
      </x:c>
      <x:c r="N174" s="38" t="str">
        <x:f>IF($A174="","","Approved Current")</x:f>
      </x:c>
      <x:c r="O174" s="49" t="str">
        <x:f>IF($A174="","","Derived from Result Review row "&amp;M174)</x:f>
      </x:c>
    </x:row>
    <x:row r="175" ht="15" hidden="0" customHeight="1">
      <x:c r="A175" s="48" t="str">
        <x:f>IF(Fixtures!A175="","",IF(COUNTIFS('Result Review'!$D$5:$D$204,Fixtures!A175,'Result Review'!$R$5:$R$204,"Approved Current")=1,Fixtures!A175,""))</x:f>
      </x:c>
      <x:c r="B175" s="38" t="str">
        <x:f>IF($A175="","",XLOOKUP($A175,Fixtures!$A$5:$A$204,Fixtures!$B$5:$B$204,""))</x:f>
      </x:c>
      <x:c r="C175" s="38" t="str">
        <x:f>IF($A175="","",XLOOKUP($A175,Fixtures!$A$5:$A$204,Fixtures!$D$5:$D$204,""))</x:f>
      </x:c>
      <x:c r="D175" s="38" t="str">
        <x:f>IF($A175="","",XLOOKUP($A175,Fixtures!$A$5:$A$204,Fixtures!$E$5:$E$204,""))</x:f>
      </x:c>
      <x:c r="E175" s="38" t="str">
        <x:f>IF($A175="","",XLOOKUP($A175,Fixtures!$A$5:$A$204,Fixtures!$F$5:$F$204,""))</x:f>
      </x:c>
      <x:c r="F175" s="38" t="str">
        <x:f>IF($A175="","",XLOOKUP($A175,Fixtures!$A$5:$A$204,Fixtures!$G$5:$G$204,""))</x:f>
      </x:c>
      <x:c r="G175" s="38" t="str">
        <x:f>IF($A175="","",IFERROR(INDEX(FILTER('Result Review'!$X$5:$X$204,'Result Review'!$D$5:$D$204=$A175,'Result Review'!$R$5:$R$204="Approved Current"),1),""))</x:f>
      </x:c>
      <x:c r="H175" s="38" t="str">
        <x:f>IF($A175="","",IFERROR(INDEX(FILTER('Result Review'!$Y$5:$Y$204,'Result Review'!$D$5:$D$204=$A175,'Result Review'!$R$5:$R$204="Approved Current"),1),""))</x:f>
      </x:c>
      <x:c r="I175" s="38" t="str">
        <x:f>IF($A175="","",IFERROR(INDEX(FILTER('Result Review'!$J$5:$J$204,'Result Review'!$D$5:$D$204=$A175,'Result Review'!$R$5:$R$204="Approved Current"),1),""))</x:f>
      </x:c>
      <x:c r="J175" s="38" t="str">
        <x:f>IF($A175="","",IFERROR(INDEX(FILTER('Result Review'!$K$5:$K$204,'Result Review'!$D$5:$D$204=$A175,'Result Review'!$R$5:$R$204="Approved Current"),1),""))</x:f>
      </x:c>
      <x:c r="K175" s="38" t="str">
        <x:f>IF($A175="","",IFERROR(INDEX(FILTER('Result Review'!$Z$5:$Z$204,'Result Review'!$D$5:$D$204=$A175,'Result Review'!$R$5:$R$204="Approved Current"),1),""))</x:f>
      </x:c>
      <x:c r="L175" s="60" t="str">
        <x:f>IF($A175="","",IFERROR(INDEX(FILTER('Result Review'!$L$5:$L$204,'Result Review'!$D$5:$D$204=$A175,'Result Review'!$R$5:$R$204="Approved Current"),1),""))</x:f>
      </x:c>
      <x:c r="M175" s="38" t="str">
        <x:f>IF($A175="","",IFERROR(INDEX(FILTER('Result Review'!$B$5:$B$204,'Result Review'!$D$5:$D$204=$A175,'Result Review'!$R$5:$R$204="Approved Current"),1),""))</x:f>
      </x:c>
      <x:c r="N175" s="38" t="str">
        <x:f>IF($A175="","","Approved Current")</x:f>
      </x:c>
      <x:c r="O175" s="49" t="str">
        <x:f>IF($A175="","","Derived from Result Review row "&amp;M175)</x:f>
      </x:c>
    </x:row>
    <x:row r="176" ht="15" hidden="0" customHeight="1">
      <x:c r="A176" s="48" t="str">
        <x:f>IF(Fixtures!A176="","",IF(COUNTIFS('Result Review'!$D$5:$D$204,Fixtures!A176,'Result Review'!$R$5:$R$204,"Approved Current")=1,Fixtures!A176,""))</x:f>
      </x:c>
      <x:c r="B176" s="38" t="str">
        <x:f>IF($A176="","",XLOOKUP($A176,Fixtures!$A$5:$A$204,Fixtures!$B$5:$B$204,""))</x:f>
      </x:c>
      <x:c r="C176" s="38" t="str">
        <x:f>IF($A176="","",XLOOKUP($A176,Fixtures!$A$5:$A$204,Fixtures!$D$5:$D$204,""))</x:f>
      </x:c>
      <x:c r="D176" s="38" t="str">
        <x:f>IF($A176="","",XLOOKUP($A176,Fixtures!$A$5:$A$204,Fixtures!$E$5:$E$204,""))</x:f>
      </x:c>
      <x:c r="E176" s="38" t="str">
        <x:f>IF($A176="","",XLOOKUP($A176,Fixtures!$A$5:$A$204,Fixtures!$F$5:$F$204,""))</x:f>
      </x:c>
      <x:c r="F176" s="38" t="str">
        <x:f>IF($A176="","",XLOOKUP($A176,Fixtures!$A$5:$A$204,Fixtures!$G$5:$G$204,""))</x:f>
      </x:c>
      <x:c r="G176" s="38" t="str">
        <x:f>IF($A176="","",IFERROR(INDEX(FILTER('Result Review'!$X$5:$X$204,'Result Review'!$D$5:$D$204=$A176,'Result Review'!$R$5:$R$204="Approved Current"),1),""))</x:f>
      </x:c>
      <x:c r="H176" s="38" t="str">
        <x:f>IF($A176="","",IFERROR(INDEX(FILTER('Result Review'!$Y$5:$Y$204,'Result Review'!$D$5:$D$204=$A176,'Result Review'!$R$5:$R$204="Approved Current"),1),""))</x:f>
      </x:c>
      <x:c r="I176" s="38" t="str">
        <x:f>IF($A176="","",IFERROR(INDEX(FILTER('Result Review'!$J$5:$J$204,'Result Review'!$D$5:$D$204=$A176,'Result Review'!$R$5:$R$204="Approved Current"),1),""))</x:f>
      </x:c>
      <x:c r="J176" s="38" t="str">
        <x:f>IF($A176="","",IFERROR(INDEX(FILTER('Result Review'!$K$5:$K$204,'Result Review'!$D$5:$D$204=$A176,'Result Review'!$R$5:$R$204="Approved Current"),1),""))</x:f>
      </x:c>
      <x:c r="K176" s="38" t="str">
        <x:f>IF($A176="","",IFERROR(INDEX(FILTER('Result Review'!$Z$5:$Z$204,'Result Review'!$D$5:$D$204=$A176,'Result Review'!$R$5:$R$204="Approved Current"),1),""))</x:f>
      </x:c>
      <x:c r="L176" s="60" t="str">
        <x:f>IF($A176="","",IFERROR(INDEX(FILTER('Result Review'!$L$5:$L$204,'Result Review'!$D$5:$D$204=$A176,'Result Review'!$R$5:$R$204="Approved Current"),1),""))</x:f>
      </x:c>
      <x:c r="M176" s="38" t="str">
        <x:f>IF($A176="","",IFERROR(INDEX(FILTER('Result Review'!$B$5:$B$204,'Result Review'!$D$5:$D$204=$A176,'Result Review'!$R$5:$R$204="Approved Current"),1),""))</x:f>
      </x:c>
      <x:c r="N176" s="38" t="str">
        <x:f>IF($A176="","","Approved Current")</x:f>
      </x:c>
      <x:c r="O176" s="49" t="str">
        <x:f>IF($A176="","","Derived from Result Review row "&amp;M176)</x:f>
      </x:c>
    </x:row>
    <x:row r="177" ht="15" hidden="0" customHeight="1">
      <x:c r="A177" s="48" t="str">
        <x:f>IF(Fixtures!A177="","",IF(COUNTIFS('Result Review'!$D$5:$D$204,Fixtures!A177,'Result Review'!$R$5:$R$204,"Approved Current")=1,Fixtures!A177,""))</x:f>
      </x:c>
      <x:c r="B177" s="38" t="str">
        <x:f>IF($A177="","",XLOOKUP($A177,Fixtures!$A$5:$A$204,Fixtures!$B$5:$B$204,""))</x:f>
      </x:c>
      <x:c r="C177" s="38" t="str">
        <x:f>IF($A177="","",XLOOKUP($A177,Fixtures!$A$5:$A$204,Fixtures!$D$5:$D$204,""))</x:f>
      </x:c>
      <x:c r="D177" s="38" t="str">
        <x:f>IF($A177="","",XLOOKUP($A177,Fixtures!$A$5:$A$204,Fixtures!$E$5:$E$204,""))</x:f>
      </x:c>
      <x:c r="E177" s="38" t="str">
        <x:f>IF($A177="","",XLOOKUP($A177,Fixtures!$A$5:$A$204,Fixtures!$F$5:$F$204,""))</x:f>
      </x:c>
      <x:c r="F177" s="38" t="str">
        <x:f>IF($A177="","",XLOOKUP($A177,Fixtures!$A$5:$A$204,Fixtures!$G$5:$G$204,""))</x:f>
      </x:c>
      <x:c r="G177" s="38" t="str">
        <x:f>IF($A177="","",IFERROR(INDEX(FILTER('Result Review'!$X$5:$X$204,'Result Review'!$D$5:$D$204=$A177,'Result Review'!$R$5:$R$204="Approved Current"),1),""))</x:f>
      </x:c>
      <x:c r="H177" s="38" t="str">
        <x:f>IF($A177="","",IFERROR(INDEX(FILTER('Result Review'!$Y$5:$Y$204,'Result Review'!$D$5:$D$204=$A177,'Result Review'!$R$5:$R$204="Approved Current"),1),""))</x:f>
      </x:c>
      <x:c r="I177" s="38" t="str">
        <x:f>IF($A177="","",IFERROR(INDEX(FILTER('Result Review'!$J$5:$J$204,'Result Review'!$D$5:$D$204=$A177,'Result Review'!$R$5:$R$204="Approved Current"),1),""))</x:f>
      </x:c>
      <x:c r="J177" s="38" t="str">
        <x:f>IF($A177="","",IFERROR(INDEX(FILTER('Result Review'!$K$5:$K$204,'Result Review'!$D$5:$D$204=$A177,'Result Review'!$R$5:$R$204="Approved Current"),1),""))</x:f>
      </x:c>
      <x:c r="K177" s="38" t="str">
        <x:f>IF($A177="","",IFERROR(INDEX(FILTER('Result Review'!$Z$5:$Z$204,'Result Review'!$D$5:$D$204=$A177,'Result Review'!$R$5:$R$204="Approved Current"),1),""))</x:f>
      </x:c>
      <x:c r="L177" s="60" t="str">
        <x:f>IF($A177="","",IFERROR(INDEX(FILTER('Result Review'!$L$5:$L$204,'Result Review'!$D$5:$D$204=$A177,'Result Review'!$R$5:$R$204="Approved Current"),1),""))</x:f>
      </x:c>
      <x:c r="M177" s="38" t="str">
        <x:f>IF($A177="","",IFERROR(INDEX(FILTER('Result Review'!$B$5:$B$204,'Result Review'!$D$5:$D$204=$A177,'Result Review'!$R$5:$R$204="Approved Current"),1),""))</x:f>
      </x:c>
      <x:c r="N177" s="38" t="str">
        <x:f>IF($A177="","","Approved Current")</x:f>
      </x:c>
      <x:c r="O177" s="49" t="str">
        <x:f>IF($A177="","","Derived from Result Review row "&amp;M177)</x:f>
      </x:c>
    </x:row>
    <x:row r="178" ht="15" hidden="0" customHeight="1">
      <x:c r="A178" s="48" t="str">
        <x:f>IF(Fixtures!A178="","",IF(COUNTIFS('Result Review'!$D$5:$D$204,Fixtures!A178,'Result Review'!$R$5:$R$204,"Approved Current")=1,Fixtures!A178,""))</x:f>
      </x:c>
      <x:c r="B178" s="38" t="str">
        <x:f>IF($A178="","",XLOOKUP($A178,Fixtures!$A$5:$A$204,Fixtures!$B$5:$B$204,""))</x:f>
      </x:c>
      <x:c r="C178" s="38" t="str">
        <x:f>IF($A178="","",XLOOKUP($A178,Fixtures!$A$5:$A$204,Fixtures!$D$5:$D$204,""))</x:f>
      </x:c>
      <x:c r="D178" s="38" t="str">
        <x:f>IF($A178="","",XLOOKUP($A178,Fixtures!$A$5:$A$204,Fixtures!$E$5:$E$204,""))</x:f>
      </x:c>
      <x:c r="E178" s="38" t="str">
        <x:f>IF($A178="","",XLOOKUP($A178,Fixtures!$A$5:$A$204,Fixtures!$F$5:$F$204,""))</x:f>
      </x:c>
      <x:c r="F178" s="38" t="str">
        <x:f>IF($A178="","",XLOOKUP($A178,Fixtures!$A$5:$A$204,Fixtures!$G$5:$G$204,""))</x:f>
      </x:c>
      <x:c r="G178" s="38" t="str">
        <x:f>IF($A178="","",IFERROR(INDEX(FILTER('Result Review'!$X$5:$X$204,'Result Review'!$D$5:$D$204=$A178,'Result Review'!$R$5:$R$204="Approved Current"),1),""))</x:f>
      </x:c>
      <x:c r="H178" s="38" t="str">
        <x:f>IF($A178="","",IFERROR(INDEX(FILTER('Result Review'!$Y$5:$Y$204,'Result Review'!$D$5:$D$204=$A178,'Result Review'!$R$5:$R$204="Approved Current"),1),""))</x:f>
      </x:c>
      <x:c r="I178" s="38" t="str">
        <x:f>IF($A178="","",IFERROR(INDEX(FILTER('Result Review'!$J$5:$J$204,'Result Review'!$D$5:$D$204=$A178,'Result Review'!$R$5:$R$204="Approved Current"),1),""))</x:f>
      </x:c>
      <x:c r="J178" s="38" t="str">
        <x:f>IF($A178="","",IFERROR(INDEX(FILTER('Result Review'!$K$5:$K$204,'Result Review'!$D$5:$D$204=$A178,'Result Review'!$R$5:$R$204="Approved Current"),1),""))</x:f>
      </x:c>
      <x:c r="K178" s="38" t="str">
        <x:f>IF($A178="","",IFERROR(INDEX(FILTER('Result Review'!$Z$5:$Z$204,'Result Review'!$D$5:$D$204=$A178,'Result Review'!$R$5:$R$204="Approved Current"),1),""))</x:f>
      </x:c>
      <x:c r="L178" s="60" t="str">
        <x:f>IF($A178="","",IFERROR(INDEX(FILTER('Result Review'!$L$5:$L$204,'Result Review'!$D$5:$D$204=$A178,'Result Review'!$R$5:$R$204="Approved Current"),1),""))</x:f>
      </x:c>
      <x:c r="M178" s="38" t="str">
        <x:f>IF($A178="","",IFERROR(INDEX(FILTER('Result Review'!$B$5:$B$204,'Result Review'!$D$5:$D$204=$A178,'Result Review'!$R$5:$R$204="Approved Current"),1),""))</x:f>
      </x:c>
      <x:c r="N178" s="38" t="str">
        <x:f>IF($A178="","","Approved Current")</x:f>
      </x:c>
      <x:c r="O178" s="49" t="str">
        <x:f>IF($A178="","","Derived from Result Review row "&amp;M178)</x:f>
      </x:c>
    </x:row>
    <x:row r="179" ht="15" hidden="0" customHeight="1">
      <x:c r="A179" s="48" t="str">
        <x:f>IF(Fixtures!A179="","",IF(COUNTIFS('Result Review'!$D$5:$D$204,Fixtures!A179,'Result Review'!$R$5:$R$204,"Approved Current")=1,Fixtures!A179,""))</x:f>
      </x:c>
      <x:c r="B179" s="38" t="str">
        <x:f>IF($A179="","",XLOOKUP($A179,Fixtures!$A$5:$A$204,Fixtures!$B$5:$B$204,""))</x:f>
      </x:c>
      <x:c r="C179" s="38" t="str">
        <x:f>IF($A179="","",XLOOKUP($A179,Fixtures!$A$5:$A$204,Fixtures!$D$5:$D$204,""))</x:f>
      </x:c>
      <x:c r="D179" s="38" t="str">
        <x:f>IF($A179="","",XLOOKUP($A179,Fixtures!$A$5:$A$204,Fixtures!$E$5:$E$204,""))</x:f>
      </x:c>
      <x:c r="E179" s="38" t="str">
        <x:f>IF($A179="","",XLOOKUP($A179,Fixtures!$A$5:$A$204,Fixtures!$F$5:$F$204,""))</x:f>
      </x:c>
      <x:c r="F179" s="38" t="str">
        <x:f>IF($A179="","",XLOOKUP($A179,Fixtures!$A$5:$A$204,Fixtures!$G$5:$G$204,""))</x:f>
      </x:c>
      <x:c r="G179" s="38" t="str">
        <x:f>IF($A179="","",IFERROR(INDEX(FILTER('Result Review'!$X$5:$X$204,'Result Review'!$D$5:$D$204=$A179,'Result Review'!$R$5:$R$204="Approved Current"),1),""))</x:f>
      </x:c>
      <x:c r="H179" s="38" t="str">
        <x:f>IF($A179="","",IFERROR(INDEX(FILTER('Result Review'!$Y$5:$Y$204,'Result Review'!$D$5:$D$204=$A179,'Result Review'!$R$5:$R$204="Approved Current"),1),""))</x:f>
      </x:c>
      <x:c r="I179" s="38" t="str">
        <x:f>IF($A179="","",IFERROR(INDEX(FILTER('Result Review'!$J$5:$J$204,'Result Review'!$D$5:$D$204=$A179,'Result Review'!$R$5:$R$204="Approved Current"),1),""))</x:f>
      </x:c>
      <x:c r="J179" s="38" t="str">
        <x:f>IF($A179="","",IFERROR(INDEX(FILTER('Result Review'!$K$5:$K$204,'Result Review'!$D$5:$D$204=$A179,'Result Review'!$R$5:$R$204="Approved Current"),1),""))</x:f>
      </x:c>
      <x:c r="K179" s="38" t="str">
        <x:f>IF($A179="","",IFERROR(INDEX(FILTER('Result Review'!$Z$5:$Z$204,'Result Review'!$D$5:$D$204=$A179,'Result Review'!$R$5:$R$204="Approved Current"),1),""))</x:f>
      </x:c>
      <x:c r="L179" s="60" t="str">
        <x:f>IF($A179="","",IFERROR(INDEX(FILTER('Result Review'!$L$5:$L$204,'Result Review'!$D$5:$D$204=$A179,'Result Review'!$R$5:$R$204="Approved Current"),1),""))</x:f>
      </x:c>
      <x:c r="M179" s="38" t="str">
        <x:f>IF($A179="","",IFERROR(INDEX(FILTER('Result Review'!$B$5:$B$204,'Result Review'!$D$5:$D$204=$A179,'Result Review'!$R$5:$R$204="Approved Current"),1),""))</x:f>
      </x:c>
      <x:c r="N179" s="38" t="str">
        <x:f>IF($A179="","","Approved Current")</x:f>
      </x:c>
      <x:c r="O179" s="49" t="str">
        <x:f>IF($A179="","","Derived from Result Review row "&amp;M179)</x:f>
      </x:c>
    </x:row>
    <x:row r="180" ht="15" hidden="0" customHeight="1">
      <x:c r="A180" s="48" t="str">
        <x:f>IF(Fixtures!A180="","",IF(COUNTIFS('Result Review'!$D$5:$D$204,Fixtures!A180,'Result Review'!$R$5:$R$204,"Approved Current")=1,Fixtures!A180,""))</x:f>
      </x:c>
      <x:c r="B180" s="38" t="str">
        <x:f>IF($A180="","",XLOOKUP($A180,Fixtures!$A$5:$A$204,Fixtures!$B$5:$B$204,""))</x:f>
      </x:c>
      <x:c r="C180" s="38" t="str">
        <x:f>IF($A180="","",XLOOKUP($A180,Fixtures!$A$5:$A$204,Fixtures!$D$5:$D$204,""))</x:f>
      </x:c>
      <x:c r="D180" s="38" t="str">
        <x:f>IF($A180="","",XLOOKUP($A180,Fixtures!$A$5:$A$204,Fixtures!$E$5:$E$204,""))</x:f>
      </x:c>
      <x:c r="E180" s="38" t="str">
        <x:f>IF($A180="","",XLOOKUP($A180,Fixtures!$A$5:$A$204,Fixtures!$F$5:$F$204,""))</x:f>
      </x:c>
      <x:c r="F180" s="38" t="str">
        <x:f>IF($A180="","",XLOOKUP($A180,Fixtures!$A$5:$A$204,Fixtures!$G$5:$G$204,""))</x:f>
      </x:c>
      <x:c r="G180" s="38" t="str">
        <x:f>IF($A180="","",IFERROR(INDEX(FILTER('Result Review'!$X$5:$X$204,'Result Review'!$D$5:$D$204=$A180,'Result Review'!$R$5:$R$204="Approved Current"),1),""))</x:f>
      </x:c>
      <x:c r="H180" s="38" t="str">
        <x:f>IF($A180="","",IFERROR(INDEX(FILTER('Result Review'!$Y$5:$Y$204,'Result Review'!$D$5:$D$204=$A180,'Result Review'!$R$5:$R$204="Approved Current"),1),""))</x:f>
      </x:c>
      <x:c r="I180" s="38" t="str">
        <x:f>IF($A180="","",IFERROR(INDEX(FILTER('Result Review'!$J$5:$J$204,'Result Review'!$D$5:$D$204=$A180,'Result Review'!$R$5:$R$204="Approved Current"),1),""))</x:f>
      </x:c>
      <x:c r="J180" s="38" t="str">
        <x:f>IF($A180="","",IFERROR(INDEX(FILTER('Result Review'!$K$5:$K$204,'Result Review'!$D$5:$D$204=$A180,'Result Review'!$R$5:$R$204="Approved Current"),1),""))</x:f>
      </x:c>
      <x:c r="K180" s="38" t="str">
        <x:f>IF($A180="","",IFERROR(INDEX(FILTER('Result Review'!$Z$5:$Z$204,'Result Review'!$D$5:$D$204=$A180,'Result Review'!$R$5:$R$204="Approved Current"),1),""))</x:f>
      </x:c>
      <x:c r="L180" s="60" t="str">
        <x:f>IF($A180="","",IFERROR(INDEX(FILTER('Result Review'!$L$5:$L$204,'Result Review'!$D$5:$D$204=$A180,'Result Review'!$R$5:$R$204="Approved Current"),1),""))</x:f>
      </x:c>
      <x:c r="M180" s="38" t="str">
        <x:f>IF($A180="","",IFERROR(INDEX(FILTER('Result Review'!$B$5:$B$204,'Result Review'!$D$5:$D$204=$A180,'Result Review'!$R$5:$R$204="Approved Current"),1),""))</x:f>
      </x:c>
      <x:c r="N180" s="38" t="str">
        <x:f>IF($A180="","","Approved Current")</x:f>
      </x:c>
      <x:c r="O180" s="49" t="str">
        <x:f>IF($A180="","","Derived from Result Review row "&amp;M180)</x:f>
      </x:c>
    </x:row>
    <x:row r="181" ht="15" hidden="0" customHeight="1">
      <x:c r="A181" s="48" t="str">
        <x:f>IF(Fixtures!A181="","",IF(COUNTIFS('Result Review'!$D$5:$D$204,Fixtures!A181,'Result Review'!$R$5:$R$204,"Approved Current")=1,Fixtures!A181,""))</x:f>
      </x:c>
      <x:c r="B181" s="38" t="str">
        <x:f>IF($A181="","",XLOOKUP($A181,Fixtures!$A$5:$A$204,Fixtures!$B$5:$B$204,""))</x:f>
      </x:c>
      <x:c r="C181" s="38" t="str">
        <x:f>IF($A181="","",XLOOKUP($A181,Fixtures!$A$5:$A$204,Fixtures!$D$5:$D$204,""))</x:f>
      </x:c>
      <x:c r="D181" s="38" t="str">
        <x:f>IF($A181="","",XLOOKUP($A181,Fixtures!$A$5:$A$204,Fixtures!$E$5:$E$204,""))</x:f>
      </x:c>
      <x:c r="E181" s="38" t="str">
        <x:f>IF($A181="","",XLOOKUP($A181,Fixtures!$A$5:$A$204,Fixtures!$F$5:$F$204,""))</x:f>
      </x:c>
      <x:c r="F181" s="38" t="str">
        <x:f>IF($A181="","",XLOOKUP($A181,Fixtures!$A$5:$A$204,Fixtures!$G$5:$G$204,""))</x:f>
      </x:c>
      <x:c r="G181" s="38" t="str">
        <x:f>IF($A181="","",IFERROR(INDEX(FILTER('Result Review'!$X$5:$X$204,'Result Review'!$D$5:$D$204=$A181,'Result Review'!$R$5:$R$204="Approved Current"),1),""))</x:f>
      </x:c>
      <x:c r="H181" s="38" t="str">
        <x:f>IF($A181="","",IFERROR(INDEX(FILTER('Result Review'!$Y$5:$Y$204,'Result Review'!$D$5:$D$204=$A181,'Result Review'!$R$5:$R$204="Approved Current"),1),""))</x:f>
      </x:c>
      <x:c r="I181" s="38" t="str">
        <x:f>IF($A181="","",IFERROR(INDEX(FILTER('Result Review'!$J$5:$J$204,'Result Review'!$D$5:$D$204=$A181,'Result Review'!$R$5:$R$204="Approved Current"),1),""))</x:f>
      </x:c>
      <x:c r="J181" s="38" t="str">
        <x:f>IF($A181="","",IFERROR(INDEX(FILTER('Result Review'!$K$5:$K$204,'Result Review'!$D$5:$D$204=$A181,'Result Review'!$R$5:$R$204="Approved Current"),1),""))</x:f>
      </x:c>
      <x:c r="K181" s="38" t="str">
        <x:f>IF($A181="","",IFERROR(INDEX(FILTER('Result Review'!$Z$5:$Z$204,'Result Review'!$D$5:$D$204=$A181,'Result Review'!$R$5:$R$204="Approved Current"),1),""))</x:f>
      </x:c>
      <x:c r="L181" s="60" t="str">
        <x:f>IF($A181="","",IFERROR(INDEX(FILTER('Result Review'!$L$5:$L$204,'Result Review'!$D$5:$D$204=$A181,'Result Review'!$R$5:$R$204="Approved Current"),1),""))</x:f>
      </x:c>
      <x:c r="M181" s="38" t="str">
        <x:f>IF($A181="","",IFERROR(INDEX(FILTER('Result Review'!$B$5:$B$204,'Result Review'!$D$5:$D$204=$A181,'Result Review'!$R$5:$R$204="Approved Current"),1),""))</x:f>
      </x:c>
      <x:c r="N181" s="38" t="str">
        <x:f>IF($A181="","","Approved Current")</x:f>
      </x:c>
      <x:c r="O181" s="49" t="str">
        <x:f>IF($A181="","","Derived from Result Review row "&amp;M181)</x:f>
      </x:c>
    </x:row>
    <x:row r="182" ht="15" hidden="0" customHeight="1">
      <x:c r="A182" s="48" t="str">
        <x:f>IF(Fixtures!A182="","",IF(COUNTIFS('Result Review'!$D$5:$D$204,Fixtures!A182,'Result Review'!$R$5:$R$204,"Approved Current")=1,Fixtures!A182,""))</x:f>
      </x:c>
      <x:c r="B182" s="38" t="str">
        <x:f>IF($A182="","",XLOOKUP($A182,Fixtures!$A$5:$A$204,Fixtures!$B$5:$B$204,""))</x:f>
      </x:c>
      <x:c r="C182" s="38" t="str">
        <x:f>IF($A182="","",XLOOKUP($A182,Fixtures!$A$5:$A$204,Fixtures!$D$5:$D$204,""))</x:f>
      </x:c>
      <x:c r="D182" s="38" t="str">
        <x:f>IF($A182="","",XLOOKUP($A182,Fixtures!$A$5:$A$204,Fixtures!$E$5:$E$204,""))</x:f>
      </x:c>
      <x:c r="E182" s="38" t="str">
        <x:f>IF($A182="","",XLOOKUP($A182,Fixtures!$A$5:$A$204,Fixtures!$F$5:$F$204,""))</x:f>
      </x:c>
      <x:c r="F182" s="38" t="str">
        <x:f>IF($A182="","",XLOOKUP($A182,Fixtures!$A$5:$A$204,Fixtures!$G$5:$G$204,""))</x:f>
      </x:c>
      <x:c r="G182" s="38" t="str">
        <x:f>IF($A182="","",IFERROR(INDEX(FILTER('Result Review'!$X$5:$X$204,'Result Review'!$D$5:$D$204=$A182,'Result Review'!$R$5:$R$204="Approved Current"),1),""))</x:f>
      </x:c>
      <x:c r="H182" s="38" t="str">
        <x:f>IF($A182="","",IFERROR(INDEX(FILTER('Result Review'!$Y$5:$Y$204,'Result Review'!$D$5:$D$204=$A182,'Result Review'!$R$5:$R$204="Approved Current"),1),""))</x:f>
      </x:c>
      <x:c r="I182" s="38" t="str">
        <x:f>IF($A182="","",IFERROR(INDEX(FILTER('Result Review'!$J$5:$J$204,'Result Review'!$D$5:$D$204=$A182,'Result Review'!$R$5:$R$204="Approved Current"),1),""))</x:f>
      </x:c>
      <x:c r="J182" s="38" t="str">
        <x:f>IF($A182="","",IFERROR(INDEX(FILTER('Result Review'!$K$5:$K$204,'Result Review'!$D$5:$D$204=$A182,'Result Review'!$R$5:$R$204="Approved Current"),1),""))</x:f>
      </x:c>
      <x:c r="K182" s="38" t="str">
        <x:f>IF($A182="","",IFERROR(INDEX(FILTER('Result Review'!$Z$5:$Z$204,'Result Review'!$D$5:$D$204=$A182,'Result Review'!$R$5:$R$204="Approved Current"),1),""))</x:f>
      </x:c>
      <x:c r="L182" s="60" t="str">
        <x:f>IF($A182="","",IFERROR(INDEX(FILTER('Result Review'!$L$5:$L$204,'Result Review'!$D$5:$D$204=$A182,'Result Review'!$R$5:$R$204="Approved Current"),1),""))</x:f>
      </x:c>
      <x:c r="M182" s="38" t="str">
        <x:f>IF($A182="","",IFERROR(INDEX(FILTER('Result Review'!$B$5:$B$204,'Result Review'!$D$5:$D$204=$A182,'Result Review'!$R$5:$R$204="Approved Current"),1),""))</x:f>
      </x:c>
      <x:c r="N182" s="38" t="str">
        <x:f>IF($A182="","","Approved Current")</x:f>
      </x:c>
      <x:c r="O182" s="49" t="str">
        <x:f>IF($A182="","","Derived from Result Review row "&amp;M182)</x:f>
      </x:c>
    </x:row>
    <x:row r="183" ht="15" hidden="0" customHeight="1">
      <x:c r="A183" s="48" t="str">
        <x:f>IF(Fixtures!A183="","",IF(COUNTIFS('Result Review'!$D$5:$D$204,Fixtures!A183,'Result Review'!$R$5:$R$204,"Approved Current")=1,Fixtures!A183,""))</x:f>
      </x:c>
      <x:c r="B183" s="38" t="str">
        <x:f>IF($A183="","",XLOOKUP($A183,Fixtures!$A$5:$A$204,Fixtures!$B$5:$B$204,""))</x:f>
      </x:c>
      <x:c r="C183" s="38" t="str">
        <x:f>IF($A183="","",XLOOKUP($A183,Fixtures!$A$5:$A$204,Fixtures!$D$5:$D$204,""))</x:f>
      </x:c>
      <x:c r="D183" s="38" t="str">
        <x:f>IF($A183="","",XLOOKUP($A183,Fixtures!$A$5:$A$204,Fixtures!$E$5:$E$204,""))</x:f>
      </x:c>
      <x:c r="E183" s="38" t="str">
        <x:f>IF($A183="","",XLOOKUP($A183,Fixtures!$A$5:$A$204,Fixtures!$F$5:$F$204,""))</x:f>
      </x:c>
      <x:c r="F183" s="38" t="str">
        <x:f>IF($A183="","",XLOOKUP($A183,Fixtures!$A$5:$A$204,Fixtures!$G$5:$G$204,""))</x:f>
      </x:c>
      <x:c r="G183" s="38" t="str">
        <x:f>IF($A183="","",IFERROR(INDEX(FILTER('Result Review'!$X$5:$X$204,'Result Review'!$D$5:$D$204=$A183,'Result Review'!$R$5:$R$204="Approved Current"),1),""))</x:f>
      </x:c>
      <x:c r="H183" s="38" t="str">
        <x:f>IF($A183="","",IFERROR(INDEX(FILTER('Result Review'!$Y$5:$Y$204,'Result Review'!$D$5:$D$204=$A183,'Result Review'!$R$5:$R$204="Approved Current"),1),""))</x:f>
      </x:c>
      <x:c r="I183" s="38" t="str">
        <x:f>IF($A183="","",IFERROR(INDEX(FILTER('Result Review'!$J$5:$J$204,'Result Review'!$D$5:$D$204=$A183,'Result Review'!$R$5:$R$204="Approved Current"),1),""))</x:f>
      </x:c>
      <x:c r="J183" s="38" t="str">
        <x:f>IF($A183="","",IFERROR(INDEX(FILTER('Result Review'!$K$5:$K$204,'Result Review'!$D$5:$D$204=$A183,'Result Review'!$R$5:$R$204="Approved Current"),1),""))</x:f>
      </x:c>
      <x:c r="K183" s="38" t="str">
        <x:f>IF($A183="","",IFERROR(INDEX(FILTER('Result Review'!$Z$5:$Z$204,'Result Review'!$D$5:$D$204=$A183,'Result Review'!$R$5:$R$204="Approved Current"),1),""))</x:f>
      </x:c>
      <x:c r="L183" s="60" t="str">
        <x:f>IF($A183="","",IFERROR(INDEX(FILTER('Result Review'!$L$5:$L$204,'Result Review'!$D$5:$D$204=$A183,'Result Review'!$R$5:$R$204="Approved Current"),1),""))</x:f>
      </x:c>
      <x:c r="M183" s="38" t="str">
        <x:f>IF($A183="","",IFERROR(INDEX(FILTER('Result Review'!$B$5:$B$204,'Result Review'!$D$5:$D$204=$A183,'Result Review'!$R$5:$R$204="Approved Current"),1),""))</x:f>
      </x:c>
      <x:c r="N183" s="38" t="str">
        <x:f>IF($A183="","","Approved Current")</x:f>
      </x:c>
      <x:c r="O183" s="49" t="str">
        <x:f>IF($A183="","","Derived from Result Review row "&amp;M183)</x:f>
      </x:c>
    </x:row>
    <x:row r="184" ht="15" hidden="0" customHeight="1">
      <x:c r="A184" s="48" t="str">
        <x:f>IF(Fixtures!A184="","",IF(COUNTIFS('Result Review'!$D$5:$D$204,Fixtures!A184,'Result Review'!$R$5:$R$204,"Approved Current")=1,Fixtures!A184,""))</x:f>
      </x:c>
      <x:c r="B184" s="38" t="str">
        <x:f>IF($A184="","",XLOOKUP($A184,Fixtures!$A$5:$A$204,Fixtures!$B$5:$B$204,""))</x:f>
      </x:c>
      <x:c r="C184" s="38" t="str">
        <x:f>IF($A184="","",XLOOKUP($A184,Fixtures!$A$5:$A$204,Fixtures!$D$5:$D$204,""))</x:f>
      </x:c>
      <x:c r="D184" s="38" t="str">
        <x:f>IF($A184="","",XLOOKUP($A184,Fixtures!$A$5:$A$204,Fixtures!$E$5:$E$204,""))</x:f>
      </x:c>
      <x:c r="E184" s="38" t="str">
        <x:f>IF($A184="","",XLOOKUP($A184,Fixtures!$A$5:$A$204,Fixtures!$F$5:$F$204,""))</x:f>
      </x:c>
      <x:c r="F184" s="38" t="str">
        <x:f>IF($A184="","",XLOOKUP($A184,Fixtures!$A$5:$A$204,Fixtures!$G$5:$G$204,""))</x:f>
      </x:c>
      <x:c r="G184" s="38" t="str">
        <x:f>IF($A184="","",IFERROR(INDEX(FILTER('Result Review'!$X$5:$X$204,'Result Review'!$D$5:$D$204=$A184,'Result Review'!$R$5:$R$204="Approved Current"),1),""))</x:f>
      </x:c>
      <x:c r="H184" s="38" t="str">
        <x:f>IF($A184="","",IFERROR(INDEX(FILTER('Result Review'!$Y$5:$Y$204,'Result Review'!$D$5:$D$204=$A184,'Result Review'!$R$5:$R$204="Approved Current"),1),""))</x:f>
      </x:c>
      <x:c r="I184" s="38" t="str">
        <x:f>IF($A184="","",IFERROR(INDEX(FILTER('Result Review'!$J$5:$J$204,'Result Review'!$D$5:$D$204=$A184,'Result Review'!$R$5:$R$204="Approved Current"),1),""))</x:f>
      </x:c>
      <x:c r="J184" s="38" t="str">
        <x:f>IF($A184="","",IFERROR(INDEX(FILTER('Result Review'!$K$5:$K$204,'Result Review'!$D$5:$D$204=$A184,'Result Review'!$R$5:$R$204="Approved Current"),1),""))</x:f>
      </x:c>
      <x:c r="K184" s="38" t="str">
        <x:f>IF($A184="","",IFERROR(INDEX(FILTER('Result Review'!$Z$5:$Z$204,'Result Review'!$D$5:$D$204=$A184,'Result Review'!$R$5:$R$204="Approved Current"),1),""))</x:f>
      </x:c>
      <x:c r="L184" s="60" t="str">
        <x:f>IF($A184="","",IFERROR(INDEX(FILTER('Result Review'!$L$5:$L$204,'Result Review'!$D$5:$D$204=$A184,'Result Review'!$R$5:$R$204="Approved Current"),1),""))</x:f>
      </x:c>
      <x:c r="M184" s="38" t="str">
        <x:f>IF($A184="","",IFERROR(INDEX(FILTER('Result Review'!$B$5:$B$204,'Result Review'!$D$5:$D$204=$A184,'Result Review'!$R$5:$R$204="Approved Current"),1),""))</x:f>
      </x:c>
      <x:c r="N184" s="38" t="str">
        <x:f>IF($A184="","","Approved Current")</x:f>
      </x:c>
      <x:c r="O184" s="49" t="str">
        <x:f>IF($A184="","","Derived from Result Review row "&amp;M184)</x:f>
      </x:c>
    </x:row>
    <x:row r="185" ht="15" hidden="0" customHeight="1">
      <x:c r="A185" s="48" t="str">
        <x:f>IF(Fixtures!A185="","",IF(COUNTIFS('Result Review'!$D$5:$D$204,Fixtures!A185,'Result Review'!$R$5:$R$204,"Approved Current")=1,Fixtures!A185,""))</x:f>
      </x:c>
      <x:c r="B185" s="38" t="str">
        <x:f>IF($A185="","",XLOOKUP($A185,Fixtures!$A$5:$A$204,Fixtures!$B$5:$B$204,""))</x:f>
      </x:c>
      <x:c r="C185" s="38" t="str">
        <x:f>IF($A185="","",XLOOKUP($A185,Fixtures!$A$5:$A$204,Fixtures!$D$5:$D$204,""))</x:f>
      </x:c>
      <x:c r="D185" s="38" t="str">
        <x:f>IF($A185="","",XLOOKUP($A185,Fixtures!$A$5:$A$204,Fixtures!$E$5:$E$204,""))</x:f>
      </x:c>
      <x:c r="E185" s="38" t="str">
        <x:f>IF($A185="","",XLOOKUP($A185,Fixtures!$A$5:$A$204,Fixtures!$F$5:$F$204,""))</x:f>
      </x:c>
      <x:c r="F185" s="38" t="str">
        <x:f>IF($A185="","",XLOOKUP($A185,Fixtures!$A$5:$A$204,Fixtures!$G$5:$G$204,""))</x:f>
      </x:c>
      <x:c r="G185" s="38" t="str">
        <x:f>IF($A185="","",IFERROR(INDEX(FILTER('Result Review'!$X$5:$X$204,'Result Review'!$D$5:$D$204=$A185,'Result Review'!$R$5:$R$204="Approved Current"),1),""))</x:f>
      </x:c>
      <x:c r="H185" s="38" t="str">
        <x:f>IF($A185="","",IFERROR(INDEX(FILTER('Result Review'!$Y$5:$Y$204,'Result Review'!$D$5:$D$204=$A185,'Result Review'!$R$5:$R$204="Approved Current"),1),""))</x:f>
      </x:c>
      <x:c r="I185" s="38" t="str">
        <x:f>IF($A185="","",IFERROR(INDEX(FILTER('Result Review'!$J$5:$J$204,'Result Review'!$D$5:$D$204=$A185,'Result Review'!$R$5:$R$204="Approved Current"),1),""))</x:f>
      </x:c>
      <x:c r="J185" s="38" t="str">
        <x:f>IF($A185="","",IFERROR(INDEX(FILTER('Result Review'!$K$5:$K$204,'Result Review'!$D$5:$D$204=$A185,'Result Review'!$R$5:$R$204="Approved Current"),1),""))</x:f>
      </x:c>
      <x:c r="K185" s="38" t="str">
        <x:f>IF($A185="","",IFERROR(INDEX(FILTER('Result Review'!$Z$5:$Z$204,'Result Review'!$D$5:$D$204=$A185,'Result Review'!$R$5:$R$204="Approved Current"),1),""))</x:f>
      </x:c>
      <x:c r="L185" s="60" t="str">
        <x:f>IF($A185="","",IFERROR(INDEX(FILTER('Result Review'!$L$5:$L$204,'Result Review'!$D$5:$D$204=$A185,'Result Review'!$R$5:$R$204="Approved Current"),1),""))</x:f>
      </x:c>
      <x:c r="M185" s="38" t="str">
        <x:f>IF($A185="","",IFERROR(INDEX(FILTER('Result Review'!$B$5:$B$204,'Result Review'!$D$5:$D$204=$A185,'Result Review'!$R$5:$R$204="Approved Current"),1),""))</x:f>
      </x:c>
      <x:c r="N185" s="38" t="str">
        <x:f>IF($A185="","","Approved Current")</x:f>
      </x:c>
      <x:c r="O185" s="49" t="str">
        <x:f>IF($A185="","","Derived from Result Review row "&amp;M185)</x:f>
      </x:c>
    </x:row>
    <x:row r="186" ht="15" hidden="0" customHeight="1">
      <x:c r="A186" s="48" t="str">
        <x:f>IF(Fixtures!A186="","",IF(COUNTIFS('Result Review'!$D$5:$D$204,Fixtures!A186,'Result Review'!$R$5:$R$204,"Approved Current")=1,Fixtures!A186,""))</x:f>
      </x:c>
      <x:c r="B186" s="38" t="str">
        <x:f>IF($A186="","",XLOOKUP($A186,Fixtures!$A$5:$A$204,Fixtures!$B$5:$B$204,""))</x:f>
      </x:c>
      <x:c r="C186" s="38" t="str">
        <x:f>IF($A186="","",XLOOKUP($A186,Fixtures!$A$5:$A$204,Fixtures!$D$5:$D$204,""))</x:f>
      </x:c>
      <x:c r="D186" s="38" t="str">
        <x:f>IF($A186="","",XLOOKUP($A186,Fixtures!$A$5:$A$204,Fixtures!$E$5:$E$204,""))</x:f>
      </x:c>
      <x:c r="E186" s="38" t="str">
        <x:f>IF($A186="","",XLOOKUP($A186,Fixtures!$A$5:$A$204,Fixtures!$F$5:$F$204,""))</x:f>
      </x:c>
      <x:c r="F186" s="38" t="str">
        <x:f>IF($A186="","",XLOOKUP($A186,Fixtures!$A$5:$A$204,Fixtures!$G$5:$G$204,""))</x:f>
      </x:c>
      <x:c r="G186" s="38" t="str">
        <x:f>IF($A186="","",IFERROR(INDEX(FILTER('Result Review'!$X$5:$X$204,'Result Review'!$D$5:$D$204=$A186,'Result Review'!$R$5:$R$204="Approved Current"),1),""))</x:f>
      </x:c>
      <x:c r="H186" s="38" t="str">
        <x:f>IF($A186="","",IFERROR(INDEX(FILTER('Result Review'!$Y$5:$Y$204,'Result Review'!$D$5:$D$204=$A186,'Result Review'!$R$5:$R$204="Approved Current"),1),""))</x:f>
      </x:c>
      <x:c r="I186" s="38" t="str">
        <x:f>IF($A186="","",IFERROR(INDEX(FILTER('Result Review'!$J$5:$J$204,'Result Review'!$D$5:$D$204=$A186,'Result Review'!$R$5:$R$204="Approved Current"),1),""))</x:f>
      </x:c>
      <x:c r="J186" s="38" t="str">
        <x:f>IF($A186="","",IFERROR(INDEX(FILTER('Result Review'!$K$5:$K$204,'Result Review'!$D$5:$D$204=$A186,'Result Review'!$R$5:$R$204="Approved Current"),1),""))</x:f>
      </x:c>
      <x:c r="K186" s="38" t="str">
        <x:f>IF($A186="","",IFERROR(INDEX(FILTER('Result Review'!$Z$5:$Z$204,'Result Review'!$D$5:$D$204=$A186,'Result Review'!$R$5:$R$204="Approved Current"),1),""))</x:f>
      </x:c>
      <x:c r="L186" s="60" t="str">
        <x:f>IF($A186="","",IFERROR(INDEX(FILTER('Result Review'!$L$5:$L$204,'Result Review'!$D$5:$D$204=$A186,'Result Review'!$R$5:$R$204="Approved Current"),1),""))</x:f>
      </x:c>
      <x:c r="M186" s="38" t="str">
        <x:f>IF($A186="","",IFERROR(INDEX(FILTER('Result Review'!$B$5:$B$204,'Result Review'!$D$5:$D$204=$A186,'Result Review'!$R$5:$R$204="Approved Current"),1),""))</x:f>
      </x:c>
      <x:c r="N186" s="38" t="str">
        <x:f>IF($A186="","","Approved Current")</x:f>
      </x:c>
      <x:c r="O186" s="49" t="str">
        <x:f>IF($A186="","","Derived from Result Review row "&amp;M186)</x:f>
      </x:c>
    </x:row>
    <x:row r="187" ht="15" hidden="0" customHeight="1">
      <x:c r="A187" s="48" t="str">
        <x:f>IF(Fixtures!A187="","",IF(COUNTIFS('Result Review'!$D$5:$D$204,Fixtures!A187,'Result Review'!$R$5:$R$204,"Approved Current")=1,Fixtures!A187,""))</x:f>
      </x:c>
      <x:c r="B187" s="38" t="str">
        <x:f>IF($A187="","",XLOOKUP($A187,Fixtures!$A$5:$A$204,Fixtures!$B$5:$B$204,""))</x:f>
      </x:c>
      <x:c r="C187" s="38" t="str">
        <x:f>IF($A187="","",XLOOKUP($A187,Fixtures!$A$5:$A$204,Fixtures!$D$5:$D$204,""))</x:f>
      </x:c>
      <x:c r="D187" s="38" t="str">
        <x:f>IF($A187="","",XLOOKUP($A187,Fixtures!$A$5:$A$204,Fixtures!$E$5:$E$204,""))</x:f>
      </x:c>
      <x:c r="E187" s="38" t="str">
        <x:f>IF($A187="","",XLOOKUP($A187,Fixtures!$A$5:$A$204,Fixtures!$F$5:$F$204,""))</x:f>
      </x:c>
      <x:c r="F187" s="38" t="str">
        <x:f>IF($A187="","",XLOOKUP($A187,Fixtures!$A$5:$A$204,Fixtures!$G$5:$G$204,""))</x:f>
      </x:c>
      <x:c r="G187" s="38" t="str">
        <x:f>IF($A187="","",IFERROR(INDEX(FILTER('Result Review'!$X$5:$X$204,'Result Review'!$D$5:$D$204=$A187,'Result Review'!$R$5:$R$204="Approved Current"),1),""))</x:f>
      </x:c>
      <x:c r="H187" s="38" t="str">
        <x:f>IF($A187="","",IFERROR(INDEX(FILTER('Result Review'!$Y$5:$Y$204,'Result Review'!$D$5:$D$204=$A187,'Result Review'!$R$5:$R$204="Approved Current"),1),""))</x:f>
      </x:c>
      <x:c r="I187" s="38" t="str">
        <x:f>IF($A187="","",IFERROR(INDEX(FILTER('Result Review'!$J$5:$J$204,'Result Review'!$D$5:$D$204=$A187,'Result Review'!$R$5:$R$204="Approved Current"),1),""))</x:f>
      </x:c>
      <x:c r="J187" s="38" t="str">
        <x:f>IF($A187="","",IFERROR(INDEX(FILTER('Result Review'!$K$5:$K$204,'Result Review'!$D$5:$D$204=$A187,'Result Review'!$R$5:$R$204="Approved Current"),1),""))</x:f>
      </x:c>
      <x:c r="K187" s="38" t="str">
        <x:f>IF($A187="","",IFERROR(INDEX(FILTER('Result Review'!$Z$5:$Z$204,'Result Review'!$D$5:$D$204=$A187,'Result Review'!$R$5:$R$204="Approved Current"),1),""))</x:f>
      </x:c>
      <x:c r="L187" s="60" t="str">
        <x:f>IF($A187="","",IFERROR(INDEX(FILTER('Result Review'!$L$5:$L$204,'Result Review'!$D$5:$D$204=$A187,'Result Review'!$R$5:$R$204="Approved Current"),1),""))</x:f>
      </x:c>
      <x:c r="M187" s="38" t="str">
        <x:f>IF($A187="","",IFERROR(INDEX(FILTER('Result Review'!$B$5:$B$204,'Result Review'!$D$5:$D$204=$A187,'Result Review'!$R$5:$R$204="Approved Current"),1),""))</x:f>
      </x:c>
      <x:c r="N187" s="38" t="str">
        <x:f>IF($A187="","","Approved Current")</x:f>
      </x:c>
      <x:c r="O187" s="49" t="str">
        <x:f>IF($A187="","","Derived from Result Review row "&amp;M187)</x:f>
      </x:c>
    </x:row>
    <x:row r="188" ht="15" hidden="0" customHeight="1">
      <x:c r="A188" s="48" t="str">
        <x:f>IF(Fixtures!A188="","",IF(COUNTIFS('Result Review'!$D$5:$D$204,Fixtures!A188,'Result Review'!$R$5:$R$204,"Approved Current")=1,Fixtures!A188,""))</x:f>
      </x:c>
      <x:c r="B188" s="38" t="str">
        <x:f>IF($A188="","",XLOOKUP($A188,Fixtures!$A$5:$A$204,Fixtures!$B$5:$B$204,""))</x:f>
      </x:c>
      <x:c r="C188" s="38" t="str">
        <x:f>IF($A188="","",XLOOKUP($A188,Fixtures!$A$5:$A$204,Fixtures!$D$5:$D$204,""))</x:f>
      </x:c>
      <x:c r="D188" s="38" t="str">
        <x:f>IF($A188="","",XLOOKUP($A188,Fixtures!$A$5:$A$204,Fixtures!$E$5:$E$204,""))</x:f>
      </x:c>
      <x:c r="E188" s="38" t="str">
        <x:f>IF($A188="","",XLOOKUP($A188,Fixtures!$A$5:$A$204,Fixtures!$F$5:$F$204,""))</x:f>
      </x:c>
      <x:c r="F188" s="38" t="str">
        <x:f>IF($A188="","",XLOOKUP($A188,Fixtures!$A$5:$A$204,Fixtures!$G$5:$G$204,""))</x:f>
      </x:c>
      <x:c r="G188" s="38" t="str">
        <x:f>IF($A188="","",IFERROR(INDEX(FILTER('Result Review'!$X$5:$X$204,'Result Review'!$D$5:$D$204=$A188,'Result Review'!$R$5:$R$204="Approved Current"),1),""))</x:f>
      </x:c>
      <x:c r="H188" s="38" t="str">
        <x:f>IF($A188="","",IFERROR(INDEX(FILTER('Result Review'!$Y$5:$Y$204,'Result Review'!$D$5:$D$204=$A188,'Result Review'!$R$5:$R$204="Approved Current"),1),""))</x:f>
      </x:c>
      <x:c r="I188" s="38" t="str">
        <x:f>IF($A188="","",IFERROR(INDEX(FILTER('Result Review'!$J$5:$J$204,'Result Review'!$D$5:$D$204=$A188,'Result Review'!$R$5:$R$204="Approved Current"),1),""))</x:f>
      </x:c>
      <x:c r="J188" s="38" t="str">
        <x:f>IF($A188="","",IFERROR(INDEX(FILTER('Result Review'!$K$5:$K$204,'Result Review'!$D$5:$D$204=$A188,'Result Review'!$R$5:$R$204="Approved Current"),1),""))</x:f>
      </x:c>
      <x:c r="K188" s="38" t="str">
        <x:f>IF($A188="","",IFERROR(INDEX(FILTER('Result Review'!$Z$5:$Z$204,'Result Review'!$D$5:$D$204=$A188,'Result Review'!$R$5:$R$204="Approved Current"),1),""))</x:f>
      </x:c>
      <x:c r="L188" s="60" t="str">
        <x:f>IF($A188="","",IFERROR(INDEX(FILTER('Result Review'!$L$5:$L$204,'Result Review'!$D$5:$D$204=$A188,'Result Review'!$R$5:$R$204="Approved Current"),1),""))</x:f>
      </x:c>
      <x:c r="M188" s="38" t="str">
        <x:f>IF($A188="","",IFERROR(INDEX(FILTER('Result Review'!$B$5:$B$204,'Result Review'!$D$5:$D$204=$A188,'Result Review'!$R$5:$R$204="Approved Current"),1),""))</x:f>
      </x:c>
      <x:c r="N188" s="38" t="str">
        <x:f>IF($A188="","","Approved Current")</x:f>
      </x:c>
      <x:c r="O188" s="49" t="str">
        <x:f>IF($A188="","","Derived from Result Review row "&amp;M188)</x:f>
      </x:c>
    </x:row>
    <x:row r="189" ht="15" hidden="0" customHeight="1">
      <x:c r="A189" s="48" t="str">
        <x:f>IF(Fixtures!A189="","",IF(COUNTIFS('Result Review'!$D$5:$D$204,Fixtures!A189,'Result Review'!$R$5:$R$204,"Approved Current")=1,Fixtures!A189,""))</x:f>
      </x:c>
      <x:c r="B189" s="38" t="str">
        <x:f>IF($A189="","",XLOOKUP($A189,Fixtures!$A$5:$A$204,Fixtures!$B$5:$B$204,""))</x:f>
      </x:c>
      <x:c r="C189" s="38" t="str">
        <x:f>IF($A189="","",XLOOKUP($A189,Fixtures!$A$5:$A$204,Fixtures!$D$5:$D$204,""))</x:f>
      </x:c>
      <x:c r="D189" s="38" t="str">
        <x:f>IF($A189="","",XLOOKUP($A189,Fixtures!$A$5:$A$204,Fixtures!$E$5:$E$204,""))</x:f>
      </x:c>
      <x:c r="E189" s="38" t="str">
        <x:f>IF($A189="","",XLOOKUP($A189,Fixtures!$A$5:$A$204,Fixtures!$F$5:$F$204,""))</x:f>
      </x:c>
      <x:c r="F189" s="38" t="str">
        <x:f>IF($A189="","",XLOOKUP($A189,Fixtures!$A$5:$A$204,Fixtures!$G$5:$G$204,""))</x:f>
      </x:c>
      <x:c r="G189" s="38" t="str">
        <x:f>IF($A189="","",IFERROR(INDEX(FILTER('Result Review'!$X$5:$X$204,'Result Review'!$D$5:$D$204=$A189,'Result Review'!$R$5:$R$204="Approved Current"),1),""))</x:f>
      </x:c>
      <x:c r="H189" s="38" t="str">
        <x:f>IF($A189="","",IFERROR(INDEX(FILTER('Result Review'!$Y$5:$Y$204,'Result Review'!$D$5:$D$204=$A189,'Result Review'!$R$5:$R$204="Approved Current"),1),""))</x:f>
      </x:c>
      <x:c r="I189" s="38" t="str">
        <x:f>IF($A189="","",IFERROR(INDEX(FILTER('Result Review'!$J$5:$J$204,'Result Review'!$D$5:$D$204=$A189,'Result Review'!$R$5:$R$204="Approved Current"),1),""))</x:f>
      </x:c>
      <x:c r="J189" s="38" t="str">
        <x:f>IF($A189="","",IFERROR(INDEX(FILTER('Result Review'!$K$5:$K$204,'Result Review'!$D$5:$D$204=$A189,'Result Review'!$R$5:$R$204="Approved Current"),1),""))</x:f>
      </x:c>
      <x:c r="K189" s="38" t="str">
        <x:f>IF($A189="","",IFERROR(INDEX(FILTER('Result Review'!$Z$5:$Z$204,'Result Review'!$D$5:$D$204=$A189,'Result Review'!$R$5:$R$204="Approved Current"),1),""))</x:f>
      </x:c>
      <x:c r="L189" s="60" t="str">
        <x:f>IF($A189="","",IFERROR(INDEX(FILTER('Result Review'!$L$5:$L$204,'Result Review'!$D$5:$D$204=$A189,'Result Review'!$R$5:$R$204="Approved Current"),1),""))</x:f>
      </x:c>
      <x:c r="M189" s="38" t="str">
        <x:f>IF($A189="","",IFERROR(INDEX(FILTER('Result Review'!$B$5:$B$204,'Result Review'!$D$5:$D$204=$A189,'Result Review'!$R$5:$R$204="Approved Current"),1),""))</x:f>
      </x:c>
      <x:c r="N189" s="38" t="str">
        <x:f>IF($A189="","","Approved Current")</x:f>
      </x:c>
      <x:c r="O189" s="49" t="str">
        <x:f>IF($A189="","","Derived from Result Review row "&amp;M189)</x:f>
      </x:c>
    </x:row>
    <x:row r="190" ht="15" hidden="0" customHeight="1">
      <x:c r="A190" s="48" t="str">
        <x:f>IF(Fixtures!A190="","",IF(COUNTIFS('Result Review'!$D$5:$D$204,Fixtures!A190,'Result Review'!$R$5:$R$204,"Approved Current")=1,Fixtures!A190,""))</x:f>
      </x:c>
      <x:c r="B190" s="38" t="str">
        <x:f>IF($A190="","",XLOOKUP($A190,Fixtures!$A$5:$A$204,Fixtures!$B$5:$B$204,""))</x:f>
      </x:c>
      <x:c r="C190" s="38" t="str">
        <x:f>IF($A190="","",XLOOKUP($A190,Fixtures!$A$5:$A$204,Fixtures!$D$5:$D$204,""))</x:f>
      </x:c>
      <x:c r="D190" s="38" t="str">
        <x:f>IF($A190="","",XLOOKUP($A190,Fixtures!$A$5:$A$204,Fixtures!$E$5:$E$204,""))</x:f>
      </x:c>
      <x:c r="E190" s="38" t="str">
        <x:f>IF($A190="","",XLOOKUP($A190,Fixtures!$A$5:$A$204,Fixtures!$F$5:$F$204,""))</x:f>
      </x:c>
      <x:c r="F190" s="38" t="str">
        <x:f>IF($A190="","",XLOOKUP($A190,Fixtures!$A$5:$A$204,Fixtures!$G$5:$G$204,""))</x:f>
      </x:c>
      <x:c r="G190" s="38" t="str">
        <x:f>IF($A190="","",IFERROR(INDEX(FILTER('Result Review'!$X$5:$X$204,'Result Review'!$D$5:$D$204=$A190,'Result Review'!$R$5:$R$204="Approved Current"),1),""))</x:f>
      </x:c>
      <x:c r="H190" s="38" t="str">
        <x:f>IF($A190="","",IFERROR(INDEX(FILTER('Result Review'!$Y$5:$Y$204,'Result Review'!$D$5:$D$204=$A190,'Result Review'!$R$5:$R$204="Approved Current"),1),""))</x:f>
      </x:c>
      <x:c r="I190" s="38" t="str">
        <x:f>IF($A190="","",IFERROR(INDEX(FILTER('Result Review'!$J$5:$J$204,'Result Review'!$D$5:$D$204=$A190,'Result Review'!$R$5:$R$204="Approved Current"),1),""))</x:f>
      </x:c>
      <x:c r="J190" s="38" t="str">
        <x:f>IF($A190="","",IFERROR(INDEX(FILTER('Result Review'!$K$5:$K$204,'Result Review'!$D$5:$D$204=$A190,'Result Review'!$R$5:$R$204="Approved Current"),1),""))</x:f>
      </x:c>
      <x:c r="K190" s="38" t="str">
        <x:f>IF($A190="","",IFERROR(INDEX(FILTER('Result Review'!$Z$5:$Z$204,'Result Review'!$D$5:$D$204=$A190,'Result Review'!$R$5:$R$204="Approved Current"),1),""))</x:f>
      </x:c>
      <x:c r="L190" s="60" t="str">
        <x:f>IF($A190="","",IFERROR(INDEX(FILTER('Result Review'!$L$5:$L$204,'Result Review'!$D$5:$D$204=$A190,'Result Review'!$R$5:$R$204="Approved Current"),1),""))</x:f>
      </x:c>
      <x:c r="M190" s="38" t="str">
        <x:f>IF($A190="","",IFERROR(INDEX(FILTER('Result Review'!$B$5:$B$204,'Result Review'!$D$5:$D$204=$A190,'Result Review'!$R$5:$R$204="Approved Current"),1),""))</x:f>
      </x:c>
      <x:c r="N190" s="38" t="str">
        <x:f>IF($A190="","","Approved Current")</x:f>
      </x:c>
      <x:c r="O190" s="49" t="str">
        <x:f>IF($A190="","","Derived from Result Review row "&amp;M190)</x:f>
      </x:c>
    </x:row>
    <x:row r="191" ht="15" hidden="0" customHeight="1">
      <x:c r="A191" s="48" t="str">
        <x:f>IF(Fixtures!A191="","",IF(COUNTIFS('Result Review'!$D$5:$D$204,Fixtures!A191,'Result Review'!$R$5:$R$204,"Approved Current")=1,Fixtures!A191,""))</x:f>
      </x:c>
      <x:c r="B191" s="38" t="str">
        <x:f>IF($A191="","",XLOOKUP($A191,Fixtures!$A$5:$A$204,Fixtures!$B$5:$B$204,""))</x:f>
      </x:c>
      <x:c r="C191" s="38" t="str">
        <x:f>IF($A191="","",XLOOKUP($A191,Fixtures!$A$5:$A$204,Fixtures!$D$5:$D$204,""))</x:f>
      </x:c>
      <x:c r="D191" s="38" t="str">
        <x:f>IF($A191="","",XLOOKUP($A191,Fixtures!$A$5:$A$204,Fixtures!$E$5:$E$204,""))</x:f>
      </x:c>
      <x:c r="E191" s="38" t="str">
        <x:f>IF($A191="","",XLOOKUP($A191,Fixtures!$A$5:$A$204,Fixtures!$F$5:$F$204,""))</x:f>
      </x:c>
      <x:c r="F191" s="38" t="str">
        <x:f>IF($A191="","",XLOOKUP($A191,Fixtures!$A$5:$A$204,Fixtures!$G$5:$G$204,""))</x:f>
      </x:c>
      <x:c r="G191" s="38" t="str">
        <x:f>IF($A191="","",IFERROR(INDEX(FILTER('Result Review'!$X$5:$X$204,'Result Review'!$D$5:$D$204=$A191,'Result Review'!$R$5:$R$204="Approved Current"),1),""))</x:f>
      </x:c>
      <x:c r="H191" s="38" t="str">
        <x:f>IF($A191="","",IFERROR(INDEX(FILTER('Result Review'!$Y$5:$Y$204,'Result Review'!$D$5:$D$204=$A191,'Result Review'!$R$5:$R$204="Approved Current"),1),""))</x:f>
      </x:c>
      <x:c r="I191" s="38" t="str">
        <x:f>IF($A191="","",IFERROR(INDEX(FILTER('Result Review'!$J$5:$J$204,'Result Review'!$D$5:$D$204=$A191,'Result Review'!$R$5:$R$204="Approved Current"),1),""))</x:f>
      </x:c>
      <x:c r="J191" s="38" t="str">
        <x:f>IF($A191="","",IFERROR(INDEX(FILTER('Result Review'!$K$5:$K$204,'Result Review'!$D$5:$D$204=$A191,'Result Review'!$R$5:$R$204="Approved Current"),1),""))</x:f>
      </x:c>
      <x:c r="K191" s="38" t="str">
        <x:f>IF($A191="","",IFERROR(INDEX(FILTER('Result Review'!$Z$5:$Z$204,'Result Review'!$D$5:$D$204=$A191,'Result Review'!$R$5:$R$204="Approved Current"),1),""))</x:f>
      </x:c>
      <x:c r="L191" s="60" t="str">
        <x:f>IF($A191="","",IFERROR(INDEX(FILTER('Result Review'!$L$5:$L$204,'Result Review'!$D$5:$D$204=$A191,'Result Review'!$R$5:$R$204="Approved Current"),1),""))</x:f>
      </x:c>
      <x:c r="M191" s="38" t="str">
        <x:f>IF($A191="","",IFERROR(INDEX(FILTER('Result Review'!$B$5:$B$204,'Result Review'!$D$5:$D$204=$A191,'Result Review'!$R$5:$R$204="Approved Current"),1),""))</x:f>
      </x:c>
      <x:c r="N191" s="38" t="str">
        <x:f>IF($A191="","","Approved Current")</x:f>
      </x:c>
      <x:c r="O191" s="49" t="str">
        <x:f>IF($A191="","","Derived from Result Review row "&amp;M191)</x:f>
      </x:c>
    </x:row>
    <x:row r="192" ht="15" hidden="0" customHeight="1">
      <x:c r="A192" s="48" t="str">
        <x:f>IF(Fixtures!A192="","",IF(COUNTIFS('Result Review'!$D$5:$D$204,Fixtures!A192,'Result Review'!$R$5:$R$204,"Approved Current")=1,Fixtures!A192,""))</x:f>
      </x:c>
      <x:c r="B192" s="38" t="str">
        <x:f>IF($A192="","",XLOOKUP($A192,Fixtures!$A$5:$A$204,Fixtures!$B$5:$B$204,""))</x:f>
      </x:c>
      <x:c r="C192" s="38" t="str">
        <x:f>IF($A192="","",XLOOKUP($A192,Fixtures!$A$5:$A$204,Fixtures!$D$5:$D$204,""))</x:f>
      </x:c>
      <x:c r="D192" s="38" t="str">
        <x:f>IF($A192="","",XLOOKUP($A192,Fixtures!$A$5:$A$204,Fixtures!$E$5:$E$204,""))</x:f>
      </x:c>
      <x:c r="E192" s="38" t="str">
        <x:f>IF($A192="","",XLOOKUP($A192,Fixtures!$A$5:$A$204,Fixtures!$F$5:$F$204,""))</x:f>
      </x:c>
      <x:c r="F192" s="38" t="str">
        <x:f>IF($A192="","",XLOOKUP($A192,Fixtures!$A$5:$A$204,Fixtures!$G$5:$G$204,""))</x:f>
      </x:c>
      <x:c r="G192" s="38" t="str">
        <x:f>IF($A192="","",IFERROR(INDEX(FILTER('Result Review'!$X$5:$X$204,'Result Review'!$D$5:$D$204=$A192,'Result Review'!$R$5:$R$204="Approved Current"),1),""))</x:f>
      </x:c>
      <x:c r="H192" s="38" t="str">
        <x:f>IF($A192="","",IFERROR(INDEX(FILTER('Result Review'!$Y$5:$Y$204,'Result Review'!$D$5:$D$204=$A192,'Result Review'!$R$5:$R$204="Approved Current"),1),""))</x:f>
      </x:c>
      <x:c r="I192" s="38" t="str">
        <x:f>IF($A192="","",IFERROR(INDEX(FILTER('Result Review'!$J$5:$J$204,'Result Review'!$D$5:$D$204=$A192,'Result Review'!$R$5:$R$204="Approved Current"),1),""))</x:f>
      </x:c>
      <x:c r="J192" s="38" t="str">
        <x:f>IF($A192="","",IFERROR(INDEX(FILTER('Result Review'!$K$5:$K$204,'Result Review'!$D$5:$D$204=$A192,'Result Review'!$R$5:$R$204="Approved Current"),1),""))</x:f>
      </x:c>
      <x:c r="K192" s="38" t="str">
        <x:f>IF($A192="","",IFERROR(INDEX(FILTER('Result Review'!$Z$5:$Z$204,'Result Review'!$D$5:$D$204=$A192,'Result Review'!$R$5:$R$204="Approved Current"),1),""))</x:f>
      </x:c>
      <x:c r="L192" s="60" t="str">
        <x:f>IF($A192="","",IFERROR(INDEX(FILTER('Result Review'!$L$5:$L$204,'Result Review'!$D$5:$D$204=$A192,'Result Review'!$R$5:$R$204="Approved Current"),1),""))</x:f>
      </x:c>
      <x:c r="M192" s="38" t="str">
        <x:f>IF($A192="","",IFERROR(INDEX(FILTER('Result Review'!$B$5:$B$204,'Result Review'!$D$5:$D$204=$A192,'Result Review'!$R$5:$R$204="Approved Current"),1),""))</x:f>
      </x:c>
      <x:c r="N192" s="38" t="str">
        <x:f>IF($A192="","","Approved Current")</x:f>
      </x:c>
      <x:c r="O192" s="49" t="str">
        <x:f>IF($A192="","","Derived from Result Review row "&amp;M192)</x:f>
      </x:c>
    </x:row>
    <x:row r="193" ht="15" hidden="0" customHeight="1">
      <x:c r="A193" s="48" t="str">
        <x:f>IF(Fixtures!A193="","",IF(COUNTIFS('Result Review'!$D$5:$D$204,Fixtures!A193,'Result Review'!$R$5:$R$204,"Approved Current")=1,Fixtures!A193,""))</x:f>
      </x:c>
      <x:c r="B193" s="38" t="str">
        <x:f>IF($A193="","",XLOOKUP($A193,Fixtures!$A$5:$A$204,Fixtures!$B$5:$B$204,""))</x:f>
      </x:c>
      <x:c r="C193" s="38" t="str">
        <x:f>IF($A193="","",XLOOKUP($A193,Fixtures!$A$5:$A$204,Fixtures!$D$5:$D$204,""))</x:f>
      </x:c>
      <x:c r="D193" s="38" t="str">
        <x:f>IF($A193="","",XLOOKUP($A193,Fixtures!$A$5:$A$204,Fixtures!$E$5:$E$204,""))</x:f>
      </x:c>
      <x:c r="E193" s="38" t="str">
        <x:f>IF($A193="","",XLOOKUP($A193,Fixtures!$A$5:$A$204,Fixtures!$F$5:$F$204,""))</x:f>
      </x:c>
      <x:c r="F193" s="38" t="str">
        <x:f>IF($A193="","",XLOOKUP($A193,Fixtures!$A$5:$A$204,Fixtures!$G$5:$G$204,""))</x:f>
      </x:c>
      <x:c r="G193" s="38" t="str">
        <x:f>IF($A193="","",IFERROR(INDEX(FILTER('Result Review'!$X$5:$X$204,'Result Review'!$D$5:$D$204=$A193,'Result Review'!$R$5:$R$204="Approved Current"),1),""))</x:f>
      </x:c>
      <x:c r="H193" s="38" t="str">
        <x:f>IF($A193="","",IFERROR(INDEX(FILTER('Result Review'!$Y$5:$Y$204,'Result Review'!$D$5:$D$204=$A193,'Result Review'!$R$5:$R$204="Approved Current"),1),""))</x:f>
      </x:c>
      <x:c r="I193" s="38" t="str">
        <x:f>IF($A193="","",IFERROR(INDEX(FILTER('Result Review'!$J$5:$J$204,'Result Review'!$D$5:$D$204=$A193,'Result Review'!$R$5:$R$204="Approved Current"),1),""))</x:f>
      </x:c>
      <x:c r="J193" s="38" t="str">
        <x:f>IF($A193="","",IFERROR(INDEX(FILTER('Result Review'!$K$5:$K$204,'Result Review'!$D$5:$D$204=$A193,'Result Review'!$R$5:$R$204="Approved Current"),1),""))</x:f>
      </x:c>
      <x:c r="K193" s="38" t="str">
        <x:f>IF($A193="","",IFERROR(INDEX(FILTER('Result Review'!$Z$5:$Z$204,'Result Review'!$D$5:$D$204=$A193,'Result Review'!$R$5:$R$204="Approved Current"),1),""))</x:f>
      </x:c>
      <x:c r="L193" s="60" t="str">
        <x:f>IF($A193="","",IFERROR(INDEX(FILTER('Result Review'!$L$5:$L$204,'Result Review'!$D$5:$D$204=$A193,'Result Review'!$R$5:$R$204="Approved Current"),1),""))</x:f>
      </x:c>
      <x:c r="M193" s="38" t="str">
        <x:f>IF($A193="","",IFERROR(INDEX(FILTER('Result Review'!$B$5:$B$204,'Result Review'!$D$5:$D$204=$A193,'Result Review'!$R$5:$R$204="Approved Current"),1),""))</x:f>
      </x:c>
      <x:c r="N193" s="38" t="str">
        <x:f>IF($A193="","","Approved Current")</x:f>
      </x:c>
      <x:c r="O193" s="49" t="str">
        <x:f>IF($A193="","","Derived from Result Review row "&amp;M193)</x:f>
      </x:c>
    </x:row>
    <x:row r="194" ht="15" hidden="0" customHeight="1">
      <x:c r="A194" s="48" t="str">
        <x:f>IF(Fixtures!A194="","",IF(COUNTIFS('Result Review'!$D$5:$D$204,Fixtures!A194,'Result Review'!$R$5:$R$204,"Approved Current")=1,Fixtures!A194,""))</x:f>
      </x:c>
      <x:c r="B194" s="38" t="str">
        <x:f>IF($A194="","",XLOOKUP($A194,Fixtures!$A$5:$A$204,Fixtures!$B$5:$B$204,""))</x:f>
      </x:c>
      <x:c r="C194" s="38" t="str">
        <x:f>IF($A194="","",XLOOKUP($A194,Fixtures!$A$5:$A$204,Fixtures!$D$5:$D$204,""))</x:f>
      </x:c>
      <x:c r="D194" s="38" t="str">
        <x:f>IF($A194="","",XLOOKUP($A194,Fixtures!$A$5:$A$204,Fixtures!$E$5:$E$204,""))</x:f>
      </x:c>
      <x:c r="E194" s="38" t="str">
        <x:f>IF($A194="","",XLOOKUP($A194,Fixtures!$A$5:$A$204,Fixtures!$F$5:$F$204,""))</x:f>
      </x:c>
      <x:c r="F194" s="38" t="str">
        <x:f>IF($A194="","",XLOOKUP($A194,Fixtures!$A$5:$A$204,Fixtures!$G$5:$G$204,""))</x:f>
      </x:c>
      <x:c r="G194" s="38" t="str">
        <x:f>IF($A194="","",IFERROR(INDEX(FILTER('Result Review'!$X$5:$X$204,'Result Review'!$D$5:$D$204=$A194,'Result Review'!$R$5:$R$204="Approved Current"),1),""))</x:f>
      </x:c>
      <x:c r="H194" s="38" t="str">
        <x:f>IF($A194="","",IFERROR(INDEX(FILTER('Result Review'!$Y$5:$Y$204,'Result Review'!$D$5:$D$204=$A194,'Result Review'!$R$5:$R$204="Approved Current"),1),""))</x:f>
      </x:c>
      <x:c r="I194" s="38" t="str">
        <x:f>IF($A194="","",IFERROR(INDEX(FILTER('Result Review'!$J$5:$J$204,'Result Review'!$D$5:$D$204=$A194,'Result Review'!$R$5:$R$204="Approved Current"),1),""))</x:f>
      </x:c>
      <x:c r="J194" s="38" t="str">
        <x:f>IF($A194="","",IFERROR(INDEX(FILTER('Result Review'!$K$5:$K$204,'Result Review'!$D$5:$D$204=$A194,'Result Review'!$R$5:$R$204="Approved Current"),1),""))</x:f>
      </x:c>
      <x:c r="K194" s="38" t="str">
        <x:f>IF($A194="","",IFERROR(INDEX(FILTER('Result Review'!$Z$5:$Z$204,'Result Review'!$D$5:$D$204=$A194,'Result Review'!$R$5:$R$204="Approved Current"),1),""))</x:f>
      </x:c>
      <x:c r="L194" s="60" t="str">
        <x:f>IF($A194="","",IFERROR(INDEX(FILTER('Result Review'!$L$5:$L$204,'Result Review'!$D$5:$D$204=$A194,'Result Review'!$R$5:$R$204="Approved Current"),1),""))</x:f>
      </x:c>
      <x:c r="M194" s="38" t="str">
        <x:f>IF($A194="","",IFERROR(INDEX(FILTER('Result Review'!$B$5:$B$204,'Result Review'!$D$5:$D$204=$A194,'Result Review'!$R$5:$R$204="Approved Current"),1),""))</x:f>
      </x:c>
      <x:c r="N194" s="38" t="str">
        <x:f>IF($A194="","","Approved Current")</x:f>
      </x:c>
      <x:c r="O194" s="49" t="str">
        <x:f>IF($A194="","","Derived from Result Review row "&amp;M194)</x:f>
      </x:c>
    </x:row>
    <x:row r="195" ht="15" hidden="0" customHeight="1">
      <x:c r="A195" s="48" t="str">
        <x:f>IF(Fixtures!A195="","",IF(COUNTIFS('Result Review'!$D$5:$D$204,Fixtures!A195,'Result Review'!$R$5:$R$204,"Approved Current")=1,Fixtures!A195,""))</x:f>
      </x:c>
      <x:c r="B195" s="38" t="str">
        <x:f>IF($A195="","",XLOOKUP($A195,Fixtures!$A$5:$A$204,Fixtures!$B$5:$B$204,""))</x:f>
      </x:c>
      <x:c r="C195" s="38" t="str">
        <x:f>IF($A195="","",XLOOKUP($A195,Fixtures!$A$5:$A$204,Fixtures!$D$5:$D$204,""))</x:f>
      </x:c>
      <x:c r="D195" s="38" t="str">
        <x:f>IF($A195="","",XLOOKUP($A195,Fixtures!$A$5:$A$204,Fixtures!$E$5:$E$204,""))</x:f>
      </x:c>
      <x:c r="E195" s="38" t="str">
        <x:f>IF($A195="","",XLOOKUP($A195,Fixtures!$A$5:$A$204,Fixtures!$F$5:$F$204,""))</x:f>
      </x:c>
      <x:c r="F195" s="38" t="str">
        <x:f>IF($A195="","",XLOOKUP($A195,Fixtures!$A$5:$A$204,Fixtures!$G$5:$G$204,""))</x:f>
      </x:c>
      <x:c r="G195" s="38" t="str">
        <x:f>IF($A195="","",IFERROR(INDEX(FILTER('Result Review'!$X$5:$X$204,'Result Review'!$D$5:$D$204=$A195,'Result Review'!$R$5:$R$204="Approved Current"),1),""))</x:f>
      </x:c>
      <x:c r="H195" s="38" t="str">
        <x:f>IF($A195="","",IFERROR(INDEX(FILTER('Result Review'!$Y$5:$Y$204,'Result Review'!$D$5:$D$204=$A195,'Result Review'!$R$5:$R$204="Approved Current"),1),""))</x:f>
      </x:c>
      <x:c r="I195" s="38" t="str">
        <x:f>IF($A195="","",IFERROR(INDEX(FILTER('Result Review'!$J$5:$J$204,'Result Review'!$D$5:$D$204=$A195,'Result Review'!$R$5:$R$204="Approved Current"),1),""))</x:f>
      </x:c>
      <x:c r="J195" s="38" t="str">
        <x:f>IF($A195="","",IFERROR(INDEX(FILTER('Result Review'!$K$5:$K$204,'Result Review'!$D$5:$D$204=$A195,'Result Review'!$R$5:$R$204="Approved Current"),1),""))</x:f>
      </x:c>
      <x:c r="K195" s="38" t="str">
        <x:f>IF($A195="","",IFERROR(INDEX(FILTER('Result Review'!$Z$5:$Z$204,'Result Review'!$D$5:$D$204=$A195,'Result Review'!$R$5:$R$204="Approved Current"),1),""))</x:f>
      </x:c>
      <x:c r="L195" s="60" t="str">
        <x:f>IF($A195="","",IFERROR(INDEX(FILTER('Result Review'!$L$5:$L$204,'Result Review'!$D$5:$D$204=$A195,'Result Review'!$R$5:$R$204="Approved Current"),1),""))</x:f>
      </x:c>
      <x:c r="M195" s="38" t="str">
        <x:f>IF($A195="","",IFERROR(INDEX(FILTER('Result Review'!$B$5:$B$204,'Result Review'!$D$5:$D$204=$A195,'Result Review'!$R$5:$R$204="Approved Current"),1),""))</x:f>
      </x:c>
      <x:c r="N195" s="38" t="str">
        <x:f>IF($A195="","","Approved Current")</x:f>
      </x:c>
      <x:c r="O195" s="49" t="str">
        <x:f>IF($A195="","","Derived from Result Review row "&amp;M195)</x:f>
      </x:c>
    </x:row>
    <x:row r="196" ht="15" hidden="0" customHeight="1">
      <x:c r="A196" s="48" t="str">
        <x:f>IF(Fixtures!A196="","",IF(COUNTIFS('Result Review'!$D$5:$D$204,Fixtures!A196,'Result Review'!$R$5:$R$204,"Approved Current")=1,Fixtures!A196,""))</x:f>
      </x:c>
      <x:c r="B196" s="38" t="str">
        <x:f>IF($A196="","",XLOOKUP($A196,Fixtures!$A$5:$A$204,Fixtures!$B$5:$B$204,""))</x:f>
      </x:c>
      <x:c r="C196" s="38" t="str">
        <x:f>IF($A196="","",XLOOKUP($A196,Fixtures!$A$5:$A$204,Fixtures!$D$5:$D$204,""))</x:f>
      </x:c>
      <x:c r="D196" s="38" t="str">
        <x:f>IF($A196="","",XLOOKUP($A196,Fixtures!$A$5:$A$204,Fixtures!$E$5:$E$204,""))</x:f>
      </x:c>
      <x:c r="E196" s="38" t="str">
        <x:f>IF($A196="","",XLOOKUP($A196,Fixtures!$A$5:$A$204,Fixtures!$F$5:$F$204,""))</x:f>
      </x:c>
      <x:c r="F196" s="38" t="str">
        <x:f>IF($A196="","",XLOOKUP($A196,Fixtures!$A$5:$A$204,Fixtures!$G$5:$G$204,""))</x:f>
      </x:c>
      <x:c r="G196" s="38" t="str">
        <x:f>IF($A196="","",IFERROR(INDEX(FILTER('Result Review'!$X$5:$X$204,'Result Review'!$D$5:$D$204=$A196,'Result Review'!$R$5:$R$204="Approved Current"),1),""))</x:f>
      </x:c>
      <x:c r="H196" s="38" t="str">
        <x:f>IF($A196="","",IFERROR(INDEX(FILTER('Result Review'!$Y$5:$Y$204,'Result Review'!$D$5:$D$204=$A196,'Result Review'!$R$5:$R$204="Approved Current"),1),""))</x:f>
      </x:c>
      <x:c r="I196" s="38" t="str">
        <x:f>IF($A196="","",IFERROR(INDEX(FILTER('Result Review'!$J$5:$J$204,'Result Review'!$D$5:$D$204=$A196,'Result Review'!$R$5:$R$204="Approved Current"),1),""))</x:f>
      </x:c>
      <x:c r="J196" s="38" t="str">
        <x:f>IF($A196="","",IFERROR(INDEX(FILTER('Result Review'!$K$5:$K$204,'Result Review'!$D$5:$D$204=$A196,'Result Review'!$R$5:$R$204="Approved Current"),1),""))</x:f>
      </x:c>
      <x:c r="K196" s="38" t="str">
        <x:f>IF($A196="","",IFERROR(INDEX(FILTER('Result Review'!$Z$5:$Z$204,'Result Review'!$D$5:$D$204=$A196,'Result Review'!$R$5:$R$204="Approved Current"),1),""))</x:f>
      </x:c>
      <x:c r="L196" s="60" t="str">
        <x:f>IF($A196="","",IFERROR(INDEX(FILTER('Result Review'!$L$5:$L$204,'Result Review'!$D$5:$D$204=$A196,'Result Review'!$R$5:$R$204="Approved Current"),1),""))</x:f>
      </x:c>
      <x:c r="M196" s="38" t="str">
        <x:f>IF($A196="","",IFERROR(INDEX(FILTER('Result Review'!$B$5:$B$204,'Result Review'!$D$5:$D$204=$A196,'Result Review'!$R$5:$R$204="Approved Current"),1),""))</x:f>
      </x:c>
      <x:c r="N196" s="38" t="str">
        <x:f>IF($A196="","","Approved Current")</x:f>
      </x:c>
      <x:c r="O196" s="49" t="str">
        <x:f>IF($A196="","","Derived from Result Review row "&amp;M196)</x:f>
      </x:c>
    </x:row>
    <x:row r="197" ht="15" hidden="0" customHeight="1">
      <x:c r="A197" s="48" t="str">
        <x:f>IF(Fixtures!A197="","",IF(COUNTIFS('Result Review'!$D$5:$D$204,Fixtures!A197,'Result Review'!$R$5:$R$204,"Approved Current")=1,Fixtures!A197,""))</x:f>
      </x:c>
      <x:c r="B197" s="38" t="str">
        <x:f>IF($A197="","",XLOOKUP($A197,Fixtures!$A$5:$A$204,Fixtures!$B$5:$B$204,""))</x:f>
      </x:c>
      <x:c r="C197" s="38" t="str">
        <x:f>IF($A197="","",XLOOKUP($A197,Fixtures!$A$5:$A$204,Fixtures!$D$5:$D$204,""))</x:f>
      </x:c>
      <x:c r="D197" s="38" t="str">
        <x:f>IF($A197="","",XLOOKUP($A197,Fixtures!$A$5:$A$204,Fixtures!$E$5:$E$204,""))</x:f>
      </x:c>
      <x:c r="E197" s="38" t="str">
        <x:f>IF($A197="","",XLOOKUP($A197,Fixtures!$A$5:$A$204,Fixtures!$F$5:$F$204,""))</x:f>
      </x:c>
      <x:c r="F197" s="38" t="str">
        <x:f>IF($A197="","",XLOOKUP($A197,Fixtures!$A$5:$A$204,Fixtures!$G$5:$G$204,""))</x:f>
      </x:c>
      <x:c r="G197" s="38" t="str">
        <x:f>IF($A197="","",IFERROR(INDEX(FILTER('Result Review'!$X$5:$X$204,'Result Review'!$D$5:$D$204=$A197,'Result Review'!$R$5:$R$204="Approved Current"),1),""))</x:f>
      </x:c>
      <x:c r="H197" s="38" t="str">
        <x:f>IF($A197="","",IFERROR(INDEX(FILTER('Result Review'!$Y$5:$Y$204,'Result Review'!$D$5:$D$204=$A197,'Result Review'!$R$5:$R$204="Approved Current"),1),""))</x:f>
      </x:c>
      <x:c r="I197" s="38" t="str">
        <x:f>IF($A197="","",IFERROR(INDEX(FILTER('Result Review'!$J$5:$J$204,'Result Review'!$D$5:$D$204=$A197,'Result Review'!$R$5:$R$204="Approved Current"),1),""))</x:f>
      </x:c>
      <x:c r="J197" s="38" t="str">
        <x:f>IF($A197="","",IFERROR(INDEX(FILTER('Result Review'!$K$5:$K$204,'Result Review'!$D$5:$D$204=$A197,'Result Review'!$R$5:$R$204="Approved Current"),1),""))</x:f>
      </x:c>
      <x:c r="K197" s="38" t="str">
        <x:f>IF($A197="","",IFERROR(INDEX(FILTER('Result Review'!$Z$5:$Z$204,'Result Review'!$D$5:$D$204=$A197,'Result Review'!$R$5:$R$204="Approved Current"),1),""))</x:f>
      </x:c>
      <x:c r="L197" s="60" t="str">
        <x:f>IF($A197="","",IFERROR(INDEX(FILTER('Result Review'!$L$5:$L$204,'Result Review'!$D$5:$D$204=$A197,'Result Review'!$R$5:$R$204="Approved Current"),1),""))</x:f>
      </x:c>
      <x:c r="M197" s="38" t="str">
        <x:f>IF($A197="","",IFERROR(INDEX(FILTER('Result Review'!$B$5:$B$204,'Result Review'!$D$5:$D$204=$A197,'Result Review'!$R$5:$R$204="Approved Current"),1),""))</x:f>
      </x:c>
      <x:c r="N197" s="38" t="str">
        <x:f>IF($A197="","","Approved Current")</x:f>
      </x:c>
      <x:c r="O197" s="49" t="str">
        <x:f>IF($A197="","","Derived from Result Review row "&amp;M197)</x:f>
      </x:c>
    </x:row>
    <x:row r="198" ht="15" hidden="0" customHeight="1">
      <x:c r="A198" s="48" t="str">
        <x:f>IF(Fixtures!A198="","",IF(COUNTIFS('Result Review'!$D$5:$D$204,Fixtures!A198,'Result Review'!$R$5:$R$204,"Approved Current")=1,Fixtures!A198,""))</x:f>
      </x:c>
      <x:c r="B198" s="38" t="str">
        <x:f>IF($A198="","",XLOOKUP($A198,Fixtures!$A$5:$A$204,Fixtures!$B$5:$B$204,""))</x:f>
      </x:c>
      <x:c r="C198" s="38" t="str">
        <x:f>IF($A198="","",XLOOKUP($A198,Fixtures!$A$5:$A$204,Fixtures!$D$5:$D$204,""))</x:f>
      </x:c>
      <x:c r="D198" s="38" t="str">
        <x:f>IF($A198="","",XLOOKUP($A198,Fixtures!$A$5:$A$204,Fixtures!$E$5:$E$204,""))</x:f>
      </x:c>
      <x:c r="E198" s="38" t="str">
        <x:f>IF($A198="","",XLOOKUP($A198,Fixtures!$A$5:$A$204,Fixtures!$F$5:$F$204,""))</x:f>
      </x:c>
      <x:c r="F198" s="38" t="str">
        <x:f>IF($A198="","",XLOOKUP($A198,Fixtures!$A$5:$A$204,Fixtures!$G$5:$G$204,""))</x:f>
      </x:c>
      <x:c r="G198" s="38" t="str">
        <x:f>IF($A198="","",IFERROR(INDEX(FILTER('Result Review'!$X$5:$X$204,'Result Review'!$D$5:$D$204=$A198,'Result Review'!$R$5:$R$204="Approved Current"),1),""))</x:f>
      </x:c>
      <x:c r="H198" s="38" t="str">
        <x:f>IF($A198="","",IFERROR(INDEX(FILTER('Result Review'!$Y$5:$Y$204,'Result Review'!$D$5:$D$204=$A198,'Result Review'!$R$5:$R$204="Approved Current"),1),""))</x:f>
      </x:c>
      <x:c r="I198" s="38" t="str">
        <x:f>IF($A198="","",IFERROR(INDEX(FILTER('Result Review'!$J$5:$J$204,'Result Review'!$D$5:$D$204=$A198,'Result Review'!$R$5:$R$204="Approved Current"),1),""))</x:f>
      </x:c>
      <x:c r="J198" s="38" t="str">
        <x:f>IF($A198="","",IFERROR(INDEX(FILTER('Result Review'!$K$5:$K$204,'Result Review'!$D$5:$D$204=$A198,'Result Review'!$R$5:$R$204="Approved Current"),1),""))</x:f>
      </x:c>
      <x:c r="K198" s="38" t="str">
        <x:f>IF($A198="","",IFERROR(INDEX(FILTER('Result Review'!$Z$5:$Z$204,'Result Review'!$D$5:$D$204=$A198,'Result Review'!$R$5:$R$204="Approved Current"),1),""))</x:f>
      </x:c>
      <x:c r="L198" s="60" t="str">
        <x:f>IF($A198="","",IFERROR(INDEX(FILTER('Result Review'!$L$5:$L$204,'Result Review'!$D$5:$D$204=$A198,'Result Review'!$R$5:$R$204="Approved Current"),1),""))</x:f>
      </x:c>
      <x:c r="M198" s="38" t="str">
        <x:f>IF($A198="","",IFERROR(INDEX(FILTER('Result Review'!$B$5:$B$204,'Result Review'!$D$5:$D$204=$A198,'Result Review'!$R$5:$R$204="Approved Current"),1),""))</x:f>
      </x:c>
      <x:c r="N198" s="38" t="str">
        <x:f>IF($A198="","","Approved Current")</x:f>
      </x:c>
      <x:c r="O198" s="49" t="str">
        <x:f>IF($A198="","","Derived from Result Review row "&amp;M198)</x:f>
      </x:c>
    </x:row>
    <x:row r="199" ht="15" hidden="0" customHeight="1">
      <x:c r="A199" s="48" t="str">
        <x:f>IF(Fixtures!A199="","",IF(COUNTIFS('Result Review'!$D$5:$D$204,Fixtures!A199,'Result Review'!$R$5:$R$204,"Approved Current")=1,Fixtures!A199,""))</x:f>
      </x:c>
      <x:c r="B199" s="38" t="str">
        <x:f>IF($A199="","",XLOOKUP($A199,Fixtures!$A$5:$A$204,Fixtures!$B$5:$B$204,""))</x:f>
      </x:c>
      <x:c r="C199" s="38" t="str">
        <x:f>IF($A199="","",XLOOKUP($A199,Fixtures!$A$5:$A$204,Fixtures!$D$5:$D$204,""))</x:f>
      </x:c>
      <x:c r="D199" s="38" t="str">
        <x:f>IF($A199="","",XLOOKUP($A199,Fixtures!$A$5:$A$204,Fixtures!$E$5:$E$204,""))</x:f>
      </x:c>
      <x:c r="E199" s="38" t="str">
        <x:f>IF($A199="","",XLOOKUP($A199,Fixtures!$A$5:$A$204,Fixtures!$F$5:$F$204,""))</x:f>
      </x:c>
      <x:c r="F199" s="38" t="str">
        <x:f>IF($A199="","",XLOOKUP($A199,Fixtures!$A$5:$A$204,Fixtures!$G$5:$G$204,""))</x:f>
      </x:c>
      <x:c r="G199" s="38" t="str">
        <x:f>IF($A199="","",IFERROR(INDEX(FILTER('Result Review'!$X$5:$X$204,'Result Review'!$D$5:$D$204=$A199,'Result Review'!$R$5:$R$204="Approved Current"),1),""))</x:f>
      </x:c>
      <x:c r="H199" s="38" t="str">
        <x:f>IF($A199="","",IFERROR(INDEX(FILTER('Result Review'!$Y$5:$Y$204,'Result Review'!$D$5:$D$204=$A199,'Result Review'!$R$5:$R$204="Approved Current"),1),""))</x:f>
      </x:c>
      <x:c r="I199" s="38" t="str">
        <x:f>IF($A199="","",IFERROR(INDEX(FILTER('Result Review'!$J$5:$J$204,'Result Review'!$D$5:$D$204=$A199,'Result Review'!$R$5:$R$204="Approved Current"),1),""))</x:f>
      </x:c>
      <x:c r="J199" s="38" t="str">
        <x:f>IF($A199="","",IFERROR(INDEX(FILTER('Result Review'!$K$5:$K$204,'Result Review'!$D$5:$D$204=$A199,'Result Review'!$R$5:$R$204="Approved Current"),1),""))</x:f>
      </x:c>
      <x:c r="K199" s="38" t="str">
        <x:f>IF($A199="","",IFERROR(INDEX(FILTER('Result Review'!$Z$5:$Z$204,'Result Review'!$D$5:$D$204=$A199,'Result Review'!$R$5:$R$204="Approved Current"),1),""))</x:f>
      </x:c>
      <x:c r="L199" s="60" t="str">
        <x:f>IF($A199="","",IFERROR(INDEX(FILTER('Result Review'!$L$5:$L$204,'Result Review'!$D$5:$D$204=$A199,'Result Review'!$R$5:$R$204="Approved Current"),1),""))</x:f>
      </x:c>
      <x:c r="M199" s="38" t="str">
        <x:f>IF($A199="","",IFERROR(INDEX(FILTER('Result Review'!$B$5:$B$204,'Result Review'!$D$5:$D$204=$A199,'Result Review'!$R$5:$R$204="Approved Current"),1),""))</x:f>
      </x:c>
      <x:c r="N199" s="38" t="str">
        <x:f>IF($A199="","","Approved Current")</x:f>
      </x:c>
      <x:c r="O199" s="49" t="str">
        <x:f>IF($A199="","","Derived from Result Review row "&amp;M199)</x:f>
      </x:c>
    </x:row>
    <x:row r="200" ht="15" hidden="0" customHeight="1">
      <x:c r="A200" s="48" t="str">
        <x:f>IF(Fixtures!A200="","",IF(COUNTIFS('Result Review'!$D$5:$D$204,Fixtures!A200,'Result Review'!$R$5:$R$204,"Approved Current")=1,Fixtures!A200,""))</x:f>
      </x:c>
      <x:c r="B200" s="38" t="str">
        <x:f>IF($A200="","",XLOOKUP($A200,Fixtures!$A$5:$A$204,Fixtures!$B$5:$B$204,""))</x:f>
      </x:c>
      <x:c r="C200" s="38" t="str">
        <x:f>IF($A200="","",XLOOKUP($A200,Fixtures!$A$5:$A$204,Fixtures!$D$5:$D$204,""))</x:f>
      </x:c>
      <x:c r="D200" s="38" t="str">
        <x:f>IF($A200="","",XLOOKUP($A200,Fixtures!$A$5:$A$204,Fixtures!$E$5:$E$204,""))</x:f>
      </x:c>
      <x:c r="E200" s="38" t="str">
        <x:f>IF($A200="","",XLOOKUP($A200,Fixtures!$A$5:$A$204,Fixtures!$F$5:$F$204,""))</x:f>
      </x:c>
      <x:c r="F200" s="38" t="str">
        <x:f>IF($A200="","",XLOOKUP($A200,Fixtures!$A$5:$A$204,Fixtures!$G$5:$G$204,""))</x:f>
      </x:c>
      <x:c r="G200" s="38" t="str">
        <x:f>IF($A200="","",IFERROR(INDEX(FILTER('Result Review'!$X$5:$X$204,'Result Review'!$D$5:$D$204=$A200,'Result Review'!$R$5:$R$204="Approved Current"),1),""))</x:f>
      </x:c>
      <x:c r="H200" s="38" t="str">
        <x:f>IF($A200="","",IFERROR(INDEX(FILTER('Result Review'!$Y$5:$Y$204,'Result Review'!$D$5:$D$204=$A200,'Result Review'!$R$5:$R$204="Approved Current"),1),""))</x:f>
      </x:c>
      <x:c r="I200" s="38" t="str">
        <x:f>IF($A200="","",IFERROR(INDEX(FILTER('Result Review'!$J$5:$J$204,'Result Review'!$D$5:$D$204=$A200,'Result Review'!$R$5:$R$204="Approved Current"),1),""))</x:f>
      </x:c>
      <x:c r="J200" s="38" t="str">
        <x:f>IF($A200="","",IFERROR(INDEX(FILTER('Result Review'!$K$5:$K$204,'Result Review'!$D$5:$D$204=$A200,'Result Review'!$R$5:$R$204="Approved Current"),1),""))</x:f>
      </x:c>
      <x:c r="K200" s="38" t="str">
        <x:f>IF($A200="","",IFERROR(INDEX(FILTER('Result Review'!$Z$5:$Z$204,'Result Review'!$D$5:$D$204=$A200,'Result Review'!$R$5:$R$204="Approved Current"),1),""))</x:f>
      </x:c>
      <x:c r="L200" s="60" t="str">
        <x:f>IF($A200="","",IFERROR(INDEX(FILTER('Result Review'!$L$5:$L$204,'Result Review'!$D$5:$D$204=$A200,'Result Review'!$R$5:$R$204="Approved Current"),1),""))</x:f>
      </x:c>
      <x:c r="M200" s="38" t="str">
        <x:f>IF($A200="","",IFERROR(INDEX(FILTER('Result Review'!$B$5:$B$204,'Result Review'!$D$5:$D$204=$A200,'Result Review'!$R$5:$R$204="Approved Current"),1),""))</x:f>
      </x:c>
      <x:c r="N200" s="38" t="str">
        <x:f>IF($A200="","","Approved Current")</x:f>
      </x:c>
      <x:c r="O200" s="49" t="str">
        <x:f>IF($A200="","","Derived from Result Review row "&amp;M200)</x:f>
      </x:c>
    </x:row>
    <x:row r="201" ht="15" hidden="0" customHeight="1">
      <x:c r="A201" s="48" t="str">
        <x:f>IF(Fixtures!A201="","",IF(COUNTIFS('Result Review'!$D$5:$D$204,Fixtures!A201,'Result Review'!$R$5:$R$204,"Approved Current")=1,Fixtures!A201,""))</x:f>
      </x:c>
      <x:c r="B201" s="38" t="str">
        <x:f>IF($A201="","",XLOOKUP($A201,Fixtures!$A$5:$A$204,Fixtures!$B$5:$B$204,""))</x:f>
      </x:c>
      <x:c r="C201" s="38" t="str">
        <x:f>IF($A201="","",XLOOKUP($A201,Fixtures!$A$5:$A$204,Fixtures!$D$5:$D$204,""))</x:f>
      </x:c>
      <x:c r="D201" s="38" t="str">
        <x:f>IF($A201="","",XLOOKUP($A201,Fixtures!$A$5:$A$204,Fixtures!$E$5:$E$204,""))</x:f>
      </x:c>
      <x:c r="E201" s="38" t="str">
        <x:f>IF($A201="","",XLOOKUP($A201,Fixtures!$A$5:$A$204,Fixtures!$F$5:$F$204,""))</x:f>
      </x:c>
      <x:c r="F201" s="38" t="str">
        <x:f>IF($A201="","",XLOOKUP($A201,Fixtures!$A$5:$A$204,Fixtures!$G$5:$G$204,""))</x:f>
      </x:c>
      <x:c r="G201" s="38" t="str">
        <x:f>IF($A201="","",IFERROR(INDEX(FILTER('Result Review'!$X$5:$X$204,'Result Review'!$D$5:$D$204=$A201,'Result Review'!$R$5:$R$204="Approved Current"),1),""))</x:f>
      </x:c>
      <x:c r="H201" s="38" t="str">
        <x:f>IF($A201="","",IFERROR(INDEX(FILTER('Result Review'!$Y$5:$Y$204,'Result Review'!$D$5:$D$204=$A201,'Result Review'!$R$5:$R$204="Approved Current"),1),""))</x:f>
      </x:c>
      <x:c r="I201" s="38" t="str">
        <x:f>IF($A201="","",IFERROR(INDEX(FILTER('Result Review'!$J$5:$J$204,'Result Review'!$D$5:$D$204=$A201,'Result Review'!$R$5:$R$204="Approved Current"),1),""))</x:f>
      </x:c>
      <x:c r="J201" s="38" t="str">
        <x:f>IF($A201="","",IFERROR(INDEX(FILTER('Result Review'!$K$5:$K$204,'Result Review'!$D$5:$D$204=$A201,'Result Review'!$R$5:$R$204="Approved Current"),1),""))</x:f>
      </x:c>
      <x:c r="K201" s="38" t="str">
        <x:f>IF($A201="","",IFERROR(INDEX(FILTER('Result Review'!$Z$5:$Z$204,'Result Review'!$D$5:$D$204=$A201,'Result Review'!$R$5:$R$204="Approved Current"),1),""))</x:f>
      </x:c>
      <x:c r="L201" s="60" t="str">
        <x:f>IF($A201="","",IFERROR(INDEX(FILTER('Result Review'!$L$5:$L$204,'Result Review'!$D$5:$D$204=$A201,'Result Review'!$R$5:$R$204="Approved Current"),1),""))</x:f>
      </x:c>
      <x:c r="M201" s="38" t="str">
        <x:f>IF($A201="","",IFERROR(INDEX(FILTER('Result Review'!$B$5:$B$204,'Result Review'!$D$5:$D$204=$A201,'Result Review'!$R$5:$R$204="Approved Current"),1),""))</x:f>
      </x:c>
      <x:c r="N201" s="38" t="str">
        <x:f>IF($A201="","","Approved Current")</x:f>
      </x:c>
      <x:c r="O201" s="49" t="str">
        <x:f>IF($A201="","","Derived from Result Review row "&amp;M201)</x:f>
      </x:c>
    </x:row>
    <x:row r="202" ht="15" hidden="0" customHeight="1">
      <x:c r="A202" s="48" t="str">
        <x:f>IF(Fixtures!A202="","",IF(COUNTIFS('Result Review'!$D$5:$D$204,Fixtures!A202,'Result Review'!$R$5:$R$204,"Approved Current")=1,Fixtures!A202,""))</x:f>
      </x:c>
      <x:c r="B202" s="38" t="str">
        <x:f>IF($A202="","",XLOOKUP($A202,Fixtures!$A$5:$A$204,Fixtures!$B$5:$B$204,""))</x:f>
      </x:c>
      <x:c r="C202" s="38" t="str">
        <x:f>IF($A202="","",XLOOKUP($A202,Fixtures!$A$5:$A$204,Fixtures!$D$5:$D$204,""))</x:f>
      </x:c>
      <x:c r="D202" s="38" t="str">
        <x:f>IF($A202="","",XLOOKUP($A202,Fixtures!$A$5:$A$204,Fixtures!$E$5:$E$204,""))</x:f>
      </x:c>
      <x:c r="E202" s="38" t="str">
        <x:f>IF($A202="","",XLOOKUP($A202,Fixtures!$A$5:$A$204,Fixtures!$F$5:$F$204,""))</x:f>
      </x:c>
      <x:c r="F202" s="38" t="str">
        <x:f>IF($A202="","",XLOOKUP($A202,Fixtures!$A$5:$A$204,Fixtures!$G$5:$G$204,""))</x:f>
      </x:c>
      <x:c r="G202" s="38" t="str">
        <x:f>IF($A202="","",IFERROR(INDEX(FILTER('Result Review'!$X$5:$X$204,'Result Review'!$D$5:$D$204=$A202,'Result Review'!$R$5:$R$204="Approved Current"),1),""))</x:f>
      </x:c>
      <x:c r="H202" s="38" t="str">
        <x:f>IF($A202="","",IFERROR(INDEX(FILTER('Result Review'!$Y$5:$Y$204,'Result Review'!$D$5:$D$204=$A202,'Result Review'!$R$5:$R$204="Approved Current"),1),""))</x:f>
      </x:c>
      <x:c r="I202" s="38" t="str">
        <x:f>IF($A202="","",IFERROR(INDEX(FILTER('Result Review'!$J$5:$J$204,'Result Review'!$D$5:$D$204=$A202,'Result Review'!$R$5:$R$204="Approved Current"),1),""))</x:f>
      </x:c>
      <x:c r="J202" s="38" t="str">
        <x:f>IF($A202="","",IFERROR(INDEX(FILTER('Result Review'!$K$5:$K$204,'Result Review'!$D$5:$D$204=$A202,'Result Review'!$R$5:$R$204="Approved Current"),1),""))</x:f>
      </x:c>
      <x:c r="K202" s="38" t="str">
        <x:f>IF($A202="","",IFERROR(INDEX(FILTER('Result Review'!$Z$5:$Z$204,'Result Review'!$D$5:$D$204=$A202,'Result Review'!$R$5:$R$204="Approved Current"),1),""))</x:f>
      </x:c>
      <x:c r="L202" s="60" t="str">
        <x:f>IF($A202="","",IFERROR(INDEX(FILTER('Result Review'!$L$5:$L$204,'Result Review'!$D$5:$D$204=$A202,'Result Review'!$R$5:$R$204="Approved Current"),1),""))</x:f>
      </x:c>
      <x:c r="M202" s="38" t="str">
        <x:f>IF($A202="","",IFERROR(INDEX(FILTER('Result Review'!$B$5:$B$204,'Result Review'!$D$5:$D$204=$A202,'Result Review'!$R$5:$R$204="Approved Current"),1),""))</x:f>
      </x:c>
      <x:c r="N202" s="38" t="str">
        <x:f>IF($A202="","","Approved Current")</x:f>
      </x:c>
      <x:c r="O202" s="49" t="str">
        <x:f>IF($A202="","","Derived from Result Review row "&amp;M202)</x:f>
      </x:c>
    </x:row>
    <x:row r="203" ht="15" hidden="0" customHeight="1">
      <x:c r="A203" s="48" t="str">
        <x:f>IF(Fixtures!A203="","",IF(COUNTIFS('Result Review'!$D$5:$D$204,Fixtures!A203,'Result Review'!$R$5:$R$204,"Approved Current")=1,Fixtures!A203,""))</x:f>
      </x:c>
      <x:c r="B203" s="38" t="str">
        <x:f>IF($A203="","",XLOOKUP($A203,Fixtures!$A$5:$A$204,Fixtures!$B$5:$B$204,""))</x:f>
      </x:c>
      <x:c r="C203" s="38" t="str">
        <x:f>IF($A203="","",XLOOKUP($A203,Fixtures!$A$5:$A$204,Fixtures!$D$5:$D$204,""))</x:f>
      </x:c>
      <x:c r="D203" s="38" t="str">
        <x:f>IF($A203="","",XLOOKUP($A203,Fixtures!$A$5:$A$204,Fixtures!$E$5:$E$204,""))</x:f>
      </x:c>
      <x:c r="E203" s="38" t="str">
        <x:f>IF($A203="","",XLOOKUP($A203,Fixtures!$A$5:$A$204,Fixtures!$F$5:$F$204,""))</x:f>
      </x:c>
      <x:c r="F203" s="38" t="str">
        <x:f>IF($A203="","",XLOOKUP($A203,Fixtures!$A$5:$A$204,Fixtures!$G$5:$G$204,""))</x:f>
      </x:c>
      <x:c r="G203" s="38" t="str">
        <x:f>IF($A203="","",IFERROR(INDEX(FILTER('Result Review'!$X$5:$X$204,'Result Review'!$D$5:$D$204=$A203,'Result Review'!$R$5:$R$204="Approved Current"),1),""))</x:f>
      </x:c>
      <x:c r="H203" s="38" t="str">
        <x:f>IF($A203="","",IFERROR(INDEX(FILTER('Result Review'!$Y$5:$Y$204,'Result Review'!$D$5:$D$204=$A203,'Result Review'!$R$5:$R$204="Approved Current"),1),""))</x:f>
      </x:c>
      <x:c r="I203" s="38" t="str">
        <x:f>IF($A203="","",IFERROR(INDEX(FILTER('Result Review'!$J$5:$J$204,'Result Review'!$D$5:$D$204=$A203,'Result Review'!$R$5:$R$204="Approved Current"),1),""))</x:f>
      </x:c>
      <x:c r="J203" s="38" t="str">
        <x:f>IF($A203="","",IFERROR(INDEX(FILTER('Result Review'!$K$5:$K$204,'Result Review'!$D$5:$D$204=$A203,'Result Review'!$R$5:$R$204="Approved Current"),1),""))</x:f>
      </x:c>
      <x:c r="K203" s="38" t="str">
        <x:f>IF($A203="","",IFERROR(INDEX(FILTER('Result Review'!$Z$5:$Z$204,'Result Review'!$D$5:$D$204=$A203,'Result Review'!$R$5:$R$204="Approved Current"),1),""))</x:f>
      </x:c>
      <x:c r="L203" s="60" t="str">
        <x:f>IF($A203="","",IFERROR(INDEX(FILTER('Result Review'!$L$5:$L$204,'Result Review'!$D$5:$D$204=$A203,'Result Review'!$R$5:$R$204="Approved Current"),1),""))</x:f>
      </x:c>
      <x:c r="M203" s="38" t="str">
        <x:f>IF($A203="","",IFERROR(INDEX(FILTER('Result Review'!$B$5:$B$204,'Result Review'!$D$5:$D$204=$A203,'Result Review'!$R$5:$R$204="Approved Current"),1),""))</x:f>
      </x:c>
      <x:c r="N203" s="38" t="str">
        <x:f>IF($A203="","","Approved Current")</x:f>
      </x:c>
      <x:c r="O203" s="49" t="str">
        <x:f>IF($A203="","","Derived from Result Review row "&amp;M203)</x:f>
      </x:c>
    </x:row>
    <x:row r="204" ht="15" hidden="0" customHeight="1">
      <x:c r="A204" s="50" t="str">
        <x:f>IF(Fixtures!A204="","",IF(COUNTIFS('Result Review'!$D$5:$D$204,Fixtures!A204,'Result Review'!$R$5:$R$204,"Approved Current")=1,Fixtures!A204,""))</x:f>
      </x:c>
      <x:c r="B204" s="51" t="str">
        <x:f>IF($A204="","",XLOOKUP($A204,Fixtures!$A$5:$A$204,Fixtures!$B$5:$B$204,""))</x:f>
      </x:c>
      <x:c r="C204" s="51" t="str">
        <x:f>IF($A204="","",XLOOKUP($A204,Fixtures!$A$5:$A$204,Fixtures!$D$5:$D$204,""))</x:f>
      </x:c>
      <x:c r="D204" s="51" t="str">
        <x:f>IF($A204="","",XLOOKUP($A204,Fixtures!$A$5:$A$204,Fixtures!$E$5:$E$204,""))</x:f>
      </x:c>
      <x:c r="E204" s="51" t="str">
        <x:f>IF($A204="","",XLOOKUP($A204,Fixtures!$A$5:$A$204,Fixtures!$F$5:$F$204,""))</x:f>
      </x:c>
      <x:c r="F204" s="51" t="str">
        <x:f>IF($A204="","",XLOOKUP($A204,Fixtures!$A$5:$A$204,Fixtures!$G$5:$G$204,""))</x:f>
      </x:c>
      <x:c r="G204" s="51" t="str">
        <x:f>IF($A204="","",IFERROR(INDEX(FILTER('Result Review'!$X$5:$X$204,'Result Review'!$D$5:$D$204=$A204,'Result Review'!$R$5:$R$204="Approved Current"),1),""))</x:f>
      </x:c>
      <x:c r="H204" s="51" t="str">
        <x:f>IF($A204="","",IFERROR(INDEX(FILTER('Result Review'!$Y$5:$Y$204,'Result Review'!$D$5:$D$204=$A204,'Result Review'!$R$5:$R$204="Approved Current"),1),""))</x:f>
      </x:c>
      <x:c r="I204" s="51" t="str">
        <x:f>IF($A204="","",IFERROR(INDEX(FILTER('Result Review'!$J$5:$J$204,'Result Review'!$D$5:$D$204=$A204,'Result Review'!$R$5:$R$204="Approved Current"),1),""))</x:f>
      </x:c>
      <x:c r="J204" s="51" t="str">
        <x:f>IF($A204="","",IFERROR(INDEX(FILTER('Result Review'!$K$5:$K$204,'Result Review'!$D$5:$D$204=$A204,'Result Review'!$R$5:$R$204="Approved Current"),1),""))</x:f>
      </x:c>
      <x:c r="K204" s="51" t="str">
        <x:f>IF($A204="","",IFERROR(INDEX(FILTER('Result Review'!$Z$5:$Z$204,'Result Review'!$D$5:$D$204=$A204,'Result Review'!$R$5:$R$204="Approved Current"),1),""))</x:f>
      </x:c>
      <x:c r="L204" s="61" t="str">
        <x:f>IF($A204="","",IFERROR(INDEX(FILTER('Result Review'!$L$5:$L$204,'Result Review'!$D$5:$D$204=$A204,'Result Review'!$R$5:$R$204="Approved Current"),1),""))</x:f>
      </x:c>
      <x:c r="M204" s="51" t="str">
        <x:f>IF($A204="","",IFERROR(INDEX(FILTER('Result Review'!$B$5:$B$204,'Result Review'!$D$5:$D$204=$A204,'Result Review'!$R$5:$R$204="Approved Current"),1),""))</x:f>
      </x:c>
      <x:c r="N204" s="51" t="str">
        <x:f>IF($A204="","","Approved Current")</x:f>
      </x:c>
      <x:c r="O204" s="52" t="str">
        <x:f>IF($A204="","","Derived from Result Review row "&amp;M204)</x:f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fe83eeafb134052"/>
  </x:tableParts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2.37999725341797" hidden="0" customWidth="1"/>
    <x:col min="2" max="2" width="7.130000114440918" hidden="0" customWidth="1"/>
    <x:col min="3" max="3" width="9.380000114440918" hidden="0" customWidth="1"/>
    <x:col min="4" max="4" width="13.630000114440918" hidden="0" customWidth="1"/>
    <x:col min="5" max="5" width="8.380000114440918" hidden="0" customWidth="1"/>
    <x:col min="6" max="6" width="6.630000114440918" hidden="0" customWidth="1"/>
    <x:col min="7" max="7" width="8.130000114440918" hidden="0" customWidth="1"/>
    <x:col min="8" max="8" width="6.630000114440918" hidden="0" customWidth="1"/>
    <x:col min="9" max="9" width="10.880000114440918" hidden="0" customWidth="1"/>
    <x:col min="10" max="10" width="14.25" hidden="0" customWidth="1"/>
    <x:col min="11" max="11" width="15.380000114440918" hidden="0" customWidth="1"/>
    <x:col min="12" max="12" width="8.130000114440918" hidden="0" customWidth="1"/>
    <x:col min="13" max="13" width="18.25" hidden="0" customWidth="1"/>
    <x:col min="14" max="14" width="18.25" hidden="0" customWidth="1"/>
    <x:col min="15" max="15" width="18.25" hidden="0" customWidth="1"/>
    <x:col min="16" max="16" width="12.5" hidden="0" customWidth="1"/>
    <x:col min="17" max="17" width="13.25" hidden="0" customWidth="1"/>
    <x:col min="18" max="18" width="16.5" hidden="0" customWidth="1"/>
    <x:col min="19" max="19" width="8.630000114440918" hidden="0" customWidth="1"/>
    <x:col min="20" max="20" width="10.880000114440918" hidden="0" customWidth="1"/>
    <x:col min="21" max="21" width="15.130000114440918" hidden="0" customWidth="1"/>
    <x:col min="22" max="22" width="9.880000114440918" hidden="0" customWidth="1"/>
    <x:col min="23" max="23" width="8.130000114440918" hidden="0" customWidth="1"/>
    <x:col min="24" max="24" width="9.630000114440918" hidden="0" customWidth="1"/>
    <x:col min="25" max="25" width="8.130000114440918" hidden="0" customWidth="1"/>
    <x:col min="26" max="26" width="12.380000114440918" hidden="0" customWidth="1"/>
    <x:col min="27" max="27" width="15.75" hidden="0" customWidth="1"/>
    <x:col min="28" max="28" width="16.8799991607666" hidden="0" customWidth="1"/>
    <x:col min="29" max="29" width="9.630000114440918" hidden="0" customWidth="1"/>
    <x:col min="30" max="30" width="19.75" hidden="0" customWidth="1"/>
    <x:col min="31" max="31" width="19.75" hidden="0" customWidth="1"/>
    <x:col min="32" max="32" width="19.75" hidden="0" customWidth="1"/>
    <x:col min="33" max="33" width="14" hidden="0" customWidth="1"/>
    <x:col min="34" max="34" width="11.380000114440918" hidden="0" customWidth="1"/>
  </x:cols>
  <x:sheetData>
    <x:row r="1" ht="15" hidden="0" customHeight="1">
      <x:c r="A1" s="47" t="str">
        <x:v>Standings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</x:row>
    <x:row r="2" ht="15" hidden="0" customHeight="1">
      <x:c r="A2" s="38" t="str">
        <x:v>Publication-ready standings sorted by Division/Group and Rank. Visible table reads only Official Results through bounded helper formulas.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  <x:c r="AE2" s="38"/>
      <x:c r="AF2" s="38"/>
      <x:c r="AG2" s="38"/>
      <x:c r="AH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</x:row>
    <x:row r="4" ht="15" hidden="0" customHeight="1">
      <x:c r="A4" s="39" t="str">
        <x:v>Division/Group</x:v>
      </x:c>
      <x:c r="B4" s="40" t="str">
        <x:v>Rank</x:v>
      </x:c>
      <x:c r="C4" s="40" t="str">
        <x:v>Team ID</x:v>
      </x:c>
      <x:c r="D4" s="40" t="str">
        <x:v>Team Display</x:v>
      </x:c>
      <x:c r="E4" s="40" t="str">
        <x:v>Played</x:v>
      </x:c>
      <x:c r="F4" s="40" t="str">
        <x:v>Won</x:v>
      </x:c>
      <x:c r="G4" s="40" t="str">
        <x:v>Drawn</x:v>
      </x:c>
      <x:c r="H4" s="40" t="str">
        <x:v>Lost</x:v>
      </x:c>
      <x:c r="I4" s="40" t="str">
        <x:v>Goals For</x:v>
      </x:c>
      <x:c r="J4" s="40" t="str">
        <x:v>Goals Against</x:v>
      </x:c>
      <x:c r="K4" s="40" t="str">
        <x:v>Goal Difference</x:v>
      </x:c>
      <x:c r="L4" s="40" t="str">
        <x:v>Points</x:v>
      </x:c>
      <x:c r="M4" s="40" t="str">
        <x:v>Tie-breaker 1 Value</x:v>
      </x:c>
      <x:c r="N4" s="40" t="str">
        <x:v>Tie-breaker 2 Value</x:v>
      </x:c>
      <x:c r="O4" s="40" t="str">
        <x:v>Tie-breaker 3 Value</x:v>
      </x:c>
      <x:c r="P4" s="41" t="str">
        <x:v>Notes/Flags</x:v>
      </x:c>
      <x:c r="Q4" s="68" t="str">
        <x:v>Visible Sort Key</x:v>
      </x:c>
      <x:c r="R4" s="69" t="str">
        <x:v>Calc Division/Group</x:v>
      </x:c>
      <x:c r="S4" s="70" t="str">
        <x:v>Calc Rank</x:v>
      </x:c>
      <x:c r="T4" s="70" t="str">
        <x:v>Calc Team ID</x:v>
      </x:c>
      <x:c r="U4" s="70" t="str">
        <x:v>Calc Team Display</x:v>
      </x:c>
      <x:c r="V4" s="70" t="str">
        <x:v>Calc Played</x:v>
      </x:c>
      <x:c r="W4" s="70" t="str">
        <x:v>Calc Won</x:v>
      </x:c>
      <x:c r="X4" s="70" t="str">
        <x:v>Calc Drawn</x:v>
      </x:c>
      <x:c r="Y4" s="70" t="str">
        <x:v>Calc Lost</x:v>
      </x:c>
      <x:c r="Z4" s="70" t="str">
        <x:v>Calc Goals For</x:v>
      </x:c>
      <x:c r="AA4" s="70" t="str">
        <x:v>Calc Goals Against</x:v>
      </x:c>
      <x:c r="AB4" s="70" t="str">
        <x:v>Calc Goal Difference</x:v>
      </x:c>
      <x:c r="AC4" s="70" t="str">
        <x:v>Calc Points</x:v>
      </x:c>
      <x:c r="AD4" s="70" t="str">
        <x:v>Calc Tie-breaker 1 Value</x:v>
      </x:c>
      <x:c r="AE4" s="70" t="str">
        <x:v>Calc Tie-breaker 2 Value</x:v>
      </x:c>
      <x:c r="AF4" s="70" t="str">
        <x:v>Calc Tie-breaker 3 Value</x:v>
      </x:c>
      <x:c r="AG4" s="70" t="str">
        <x:v>Calc Notes/Flags</x:v>
      </x:c>
      <x:c r="AH4" s="71" t="str">
        <x:v>Calc Sort Key</x:v>
      </x:c>
    </x:row>
    <x:row r="5" ht="15" hidden="0" customHeight="1">
      <x:c r="A5" s="48" t="str">
        <x:f>IF($Q5="","",INDEX($R$5:$AG$36,MATCH($Q5,$AH$5:$AH$36,0),1))</x:f>
      </x:c>
      <x:c r="B5" s="38" t="str">
        <x:f>IF($Q5="","",INDEX($R$5:$AG$36,MATCH($Q5,$AH$5:$AH$36,0),2))</x:f>
      </x:c>
      <x:c r="C5" s="38" t="str">
        <x:f>IF($Q5="","",INDEX($R$5:$AG$36,MATCH($Q5,$AH$5:$AH$36,0),3))</x:f>
      </x:c>
      <x:c r="D5" s="38" t="str">
        <x:f>IF($Q5="","",INDEX($R$5:$AG$36,MATCH($Q5,$AH$5:$AH$36,0),4))</x:f>
      </x:c>
      <x:c r="E5" s="38" t="str">
        <x:f>IF($Q5="","",INDEX($R$5:$AG$36,MATCH($Q5,$AH$5:$AH$36,0),5))</x:f>
      </x:c>
      <x:c r="F5" s="38" t="str">
        <x:f>IF($Q5="","",INDEX($R$5:$AG$36,MATCH($Q5,$AH$5:$AH$36,0),6))</x:f>
      </x:c>
      <x:c r="G5" s="38" t="str">
        <x:f>IF($Q5="","",INDEX($R$5:$AG$36,MATCH($Q5,$AH$5:$AH$36,0),7))</x:f>
      </x:c>
      <x:c r="H5" s="38" t="str">
        <x:f>IF($Q5="","",INDEX($R$5:$AG$36,MATCH($Q5,$AH$5:$AH$36,0),8))</x:f>
      </x:c>
      <x:c r="I5" s="38" t="str">
        <x:f>IF($Q5="","",INDEX($R$5:$AG$36,MATCH($Q5,$AH$5:$AH$36,0),9))</x:f>
      </x:c>
      <x:c r="J5" s="38" t="str">
        <x:f>IF($Q5="","",INDEX($R$5:$AG$36,MATCH($Q5,$AH$5:$AH$36,0),10))</x:f>
      </x:c>
      <x:c r="K5" s="38" t="str">
        <x:f>IF($Q5="","",INDEX($R$5:$AG$36,MATCH($Q5,$AH$5:$AH$36,0),11))</x:f>
      </x:c>
      <x:c r="L5" s="38" t="str">
        <x:f>IF($Q5="","",INDEX($R$5:$AG$36,MATCH($Q5,$AH$5:$AH$36,0),12))</x:f>
      </x:c>
      <x:c r="M5" s="38" t="str">
        <x:f>IF($Q5="","",INDEX($R$5:$AG$36,MATCH($Q5,$AH$5:$AH$36,0),13))</x:f>
      </x:c>
      <x:c r="N5" s="38" t="str">
        <x:f>IF($Q5="","",INDEX($R$5:$AG$36,MATCH($Q5,$AH$5:$AH$36,0),14))</x:f>
      </x:c>
      <x:c r="O5" s="38" t="str">
        <x:f>IF($Q5="","",INDEX($R$5:$AG$36,MATCH($Q5,$AH$5:$AH$36,0),15))</x:f>
      </x:c>
      <x:c r="P5" s="49" t="str">
        <x:f>IF($Q5="","",INDEX($R$5:$AG$36,MATCH($Q5,$AH$5:$AH$36,0),16))</x:f>
      </x:c>
      <x:c r="Q5" s="38" t="str">
        <x:f>IFERROR(SMALL($AH$5:$AH$36,ROWS($Q$5:Q5)),"")</x:f>
      </x:c>
      <x:c r="R5" s="38" t="str">
        <x:f>IF(Teams!A5="","",Teams!D5)</x:f>
        <x:v>Group A</x:v>
      </x:c>
      <x:c r="S5" s="38" t="n">
        <x:f>IF(T5="","",1+COUNTIFS($R$5:$R$36,R5,$AC$5:$AC$36,"&gt;"&amp;AC5)+COUNTIFS($R$5:$R$36,R5,$AC$5:$AC$36,AC5,$AB$5:$AB$36,"&gt;"&amp;AB5)+COUNTIFS($R$5:$R$36,R5,$AC$5:$AC$36,AC5,$AB$5:$AB$36,AB5,$Z$5:$Z$36,"&gt;"&amp;Z5))</x:f>
        <x:v>1</x:v>
      </x:c>
      <x:c r="T5" s="38" t="str">
        <x:f>Teams!A5</x:f>
        <x:v>T001</x:v>
      </x:c>
      <x:c r="U5" s="38" t="str">
        <x:f>Teams!C5</x:f>
        <x:v>River Park</x:v>
      </x:c>
      <x:c r="V5" s="38" t="n">
        <x:f>IF(T5="","",SUMPRODUCT(('Official Results'!$K$5:$K$204="Yes")*(('Official Results'!$C$5:$C$204=T5)+('Official Results'!$E$5:$E$204=T5))))</x:f>
        <x:v>0</x:v>
      </x:c>
      <x:c r="W5" s="38" t="n">
        <x:f>IF(T5="","",SUMPRODUCT(('Official Results'!$K$5:$K$204="Yes")*('Official Results'!$C$5:$C$204=T5)*('Official Results'!$G$5:$G$204&gt;'Official Results'!$H$5:$H$204))+SUMPRODUCT(('Official Results'!$K$5:$K$204="Yes")*('Official Results'!$E$5:$E$204=T5)*('Official Results'!$H$5:$H$204&gt;'Official Results'!$G$5:$G$204)))</x:f>
        <x:v>0</x:v>
      </x:c>
      <x:c r="X5" s="38" t="n">
        <x:f>IF(T5="","",SUMPRODUCT(('Official Results'!$K$5:$K$204="Yes")*(('Official Results'!$C$5:$C$204=T5)+('Official Results'!$E$5:$E$204=T5))*('Official Results'!$G$5:$G$204='Official Results'!$H$5:$H$204)))</x:f>
        <x:v>0</x:v>
      </x:c>
      <x:c r="Y5" s="38" t="n">
        <x:f>IF(T5="","",V5-W5-X5)</x:f>
        <x:v>0</x:v>
      </x:c>
      <x:c r="Z5" s="38" t="n">
        <x:f>IF(T5="","",SUMPRODUCT(('Official Results'!$K$5:$K$204="Yes")*('Official Results'!$C$5:$C$204=T5)*'Official Results'!$G$5:$G$204)+SUMPRODUCT(('Official Results'!$K$5:$K$204="Yes")*('Official Results'!$E$5:$E$204=T5)*'Official Results'!$H$5:$H$204))</x:f>
        <x:v>0</x:v>
      </x:c>
      <x:c r="AA5" s="38" t="n">
        <x:f>IF(T5="","",SUMPRODUCT(('Official Results'!$K$5:$K$204="Yes")*('Official Results'!$C$5:$C$204=T5)*'Official Results'!$H$5:$H$204)+SUMPRODUCT(('Official Results'!$K$5:$K$204="Yes")*('Official Results'!$E$5:$E$204=T5)*'Official Results'!$G$5:$G$204))</x:f>
        <x:v>0</x:v>
      </x:c>
      <x:c r="AB5" s="38" t="n">
        <x:f>IF(T5="","",Z5-AA5)</x:f>
        <x:v>0</x:v>
      </x:c>
      <x:c r="AC5" s="38" t="n">
        <x:f>IF(T5="","",W5*Rules!$C$5+X5*Rules!$C$6+Y5*Rules!$C$7)</x:f>
        <x:v>0</x:v>
      </x:c>
      <x:c r="AD5" s="38" t="n">
        <x:f>AC5</x:f>
        <x:v>0</x:v>
      </x:c>
      <x:c r="AE5" s="38" t="n">
        <x:f>AB5</x:f>
        <x:v>0</x:v>
      </x:c>
      <x:c r="AF5" s="38" t="n">
        <x:f>Z5</x:f>
        <x:v>0</x:v>
      </x:c>
      <x:c r="AG5" s="38" t="str">
        <x:f>IF(T5="","",IF(Teams!E5&lt;&gt;"Active","Team not active",""))</x:f>
      </x:c>
      <x:c r="AH5" s="38" t="n">
        <x:f>IF(R5="","",COUNTIF($R$5:$R$36,"&lt;"&amp;R5)*100000+S5*1000+COUNTIFS($R$5:$R$36,R5,$S$5:$S$36,S5,$U$5:$U$36,"&lt;="&amp;U5))</x:f>
        <x:v>2401004</x:v>
      </x:c>
    </x:row>
    <x:row r="6" ht="15" hidden="0" customHeight="1">
      <x:c r="A6" s="48" t="str">
        <x:f>IF($Q6="","",INDEX($R$5:$AG$36,MATCH($Q6,$AH$5:$AH$36,0),1))</x:f>
      </x:c>
      <x:c r="B6" s="38" t="str">
        <x:f>IF($Q6="","",INDEX($R$5:$AG$36,MATCH($Q6,$AH$5:$AH$36,0),2))</x:f>
      </x:c>
      <x:c r="C6" s="38" t="str">
        <x:f>IF($Q6="","",INDEX($R$5:$AG$36,MATCH($Q6,$AH$5:$AH$36,0),3))</x:f>
      </x:c>
      <x:c r="D6" s="38" t="str">
        <x:f>IF($Q6="","",INDEX($R$5:$AG$36,MATCH($Q6,$AH$5:$AH$36,0),4))</x:f>
      </x:c>
      <x:c r="E6" s="38" t="str">
        <x:f>IF($Q6="","",INDEX($R$5:$AG$36,MATCH($Q6,$AH$5:$AH$36,0),5))</x:f>
      </x:c>
      <x:c r="F6" s="38" t="str">
        <x:f>IF($Q6="","",INDEX($R$5:$AG$36,MATCH($Q6,$AH$5:$AH$36,0),6))</x:f>
      </x:c>
      <x:c r="G6" s="38" t="str">
        <x:f>IF($Q6="","",INDEX($R$5:$AG$36,MATCH($Q6,$AH$5:$AH$36,0),7))</x:f>
      </x:c>
      <x:c r="H6" s="38" t="str">
        <x:f>IF($Q6="","",INDEX($R$5:$AG$36,MATCH($Q6,$AH$5:$AH$36,0),8))</x:f>
      </x:c>
      <x:c r="I6" s="38" t="str">
        <x:f>IF($Q6="","",INDEX($R$5:$AG$36,MATCH($Q6,$AH$5:$AH$36,0),9))</x:f>
      </x:c>
      <x:c r="J6" s="38" t="str">
        <x:f>IF($Q6="","",INDEX($R$5:$AG$36,MATCH($Q6,$AH$5:$AH$36,0),10))</x:f>
      </x:c>
      <x:c r="K6" s="38" t="str">
        <x:f>IF($Q6="","",INDEX($R$5:$AG$36,MATCH($Q6,$AH$5:$AH$36,0),11))</x:f>
      </x:c>
      <x:c r="L6" s="38" t="str">
        <x:f>IF($Q6="","",INDEX($R$5:$AG$36,MATCH($Q6,$AH$5:$AH$36,0),12))</x:f>
      </x:c>
      <x:c r="M6" s="38" t="str">
        <x:f>IF($Q6="","",INDEX($R$5:$AG$36,MATCH($Q6,$AH$5:$AH$36,0),13))</x:f>
      </x:c>
      <x:c r="N6" s="38" t="str">
        <x:f>IF($Q6="","",INDEX($R$5:$AG$36,MATCH($Q6,$AH$5:$AH$36,0),14))</x:f>
      </x:c>
      <x:c r="O6" s="38" t="str">
        <x:f>IF($Q6="","",INDEX($R$5:$AG$36,MATCH($Q6,$AH$5:$AH$36,0),15))</x:f>
      </x:c>
      <x:c r="P6" s="49" t="str">
        <x:f>IF($Q6="","",INDEX($R$5:$AG$36,MATCH($Q6,$AH$5:$AH$36,0),16))</x:f>
      </x:c>
      <x:c r="Q6" s="38" t="str">
        <x:f>IFERROR(SMALL($AH$5:$AH$36,ROWS($Q$5:Q6)),"")</x:f>
      </x:c>
      <x:c r="R6" s="38" t="str">
        <x:f>IF(Teams!A6="","",Teams!D6)</x:f>
        <x:v>Group A</x:v>
      </x:c>
      <x:c r="S6" s="38" t="n">
        <x:f>IF(T6="","",1+COUNTIFS($R$5:$R$36,R6,$AC$5:$AC$36,"&gt;"&amp;AC6)+COUNTIFS($R$5:$R$36,R6,$AC$5:$AC$36,AC6,$AB$5:$AB$36,"&gt;"&amp;AB6)+COUNTIFS($R$5:$R$36,R6,$AC$5:$AC$36,AC6,$AB$5:$AB$36,AB6,$Z$5:$Z$36,"&gt;"&amp;Z6))</x:f>
        <x:v>1</x:v>
      </x:c>
      <x:c r="T6" s="38" t="str">
        <x:f>Teams!A6</x:f>
        <x:v>T002</x:v>
      </x:c>
      <x:c r="U6" s="38" t="str">
        <x:f>Teams!C6</x:f>
        <x:v>Lakeside</x:v>
      </x:c>
      <x:c r="V6" s="38" t="n">
        <x:f>IF(T6="","",SUMPRODUCT(('Official Results'!$K$5:$K$204="Yes")*(('Official Results'!$C$5:$C$204=T6)+('Official Results'!$E$5:$E$204=T6))))</x:f>
        <x:v>0</x:v>
      </x:c>
      <x:c r="W6" s="38" t="n">
        <x:f>IF(T6="","",SUMPRODUCT(('Official Results'!$K$5:$K$204="Yes")*('Official Results'!$C$5:$C$204=T6)*('Official Results'!$G$5:$G$204&gt;'Official Results'!$H$5:$H$204))+SUMPRODUCT(('Official Results'!$K$5:$K$204="Yes")*('Official Results'!$E$5:$E$204=T6)*('Official Results'!$H$5:$H$204&gt;'Official Results'!$G$5:$G$204)))</x:f>
        <x:v>0</x:v>
      </x:c>
      <x:c r="X6" s="38" t="n">
        <x:f>IF(T6="","",SUMPRODUCT(('Official Results'!$K$5:$K$204="Yes")*(('Official Results'!$C$5:$C$204=T6)+('Official Results'!$E$5:$E$204=T6))*('Official Results'!$G$5:$G$204='Official Results'!$H$5:$H$204)))</x:f>
        <x:v>0</x:v>
      </x:c>
      <x:c r="Y6" s="38" t="n">
        <x:f>IF(T6="","",V6-W6-X6)</x:f>
        <x:v>0</x:v>
      </x:c>
      <x:c r="Z6" s="38" t="n">
        <x:f>IF(T6="","",SUMPRODUCT(('Official Results'!$K$5:$K$204="Yes")*('Official Results'!$C$5:$C$204=T6)*'Official Results'!$G$5:$G$204)+SUMPRODUCT(('Official Results'!$K$5:$K$204="Yes")*('Official Results'!$E$5:$E$204=T6)*'Official Results'!$H$5:$H$204))</x:f>
        <x:v>0</x:v>
      </x:c>
      <x:c r="AA6" s="38" t="n">
        <x:f>IF(T6="","",SUMPRODUCT(('Official Results'!$K$5:$K$204="Yes")*('Official Results'!$C$5:$C$204=T6)*'Official Results'!$H$5:$H$204)+SUMPRODUCT(('Official Results'!$K$5:$K$204="Yes")*('Official Results'!$E$5:$E$204=T6)*'Official Results'!$G$5:$G$204))</x:f>
        <x:v>0</x:v>
      </x:c>
      <x:c r="AB6" s="38" t="n">
        <x:f>IF(T6="","",Z6-AA6)</x:f>
        <x:v>0</x:v>
      </x:c>
      <x:c r="AC6" s="38" t="n">
        <x:f>IF(T6="","",W6*Rules!$C$5+X6*Rules!$C$6+Y6*Rules!$C$7)</x:f>
        <x:v>0</x:v>
      </x:c>
      <x:c r="AD6" s="38" t="n">
        <x:f>AC6</x:f>
        <x:v>0</x:v>
      </x:c>
      <x:c r="AE6" s="38" t="n">
        <x:f>AB6</x:f>
        <x:v>0</x:v>
      </x:c>
      <x:c r="AF6" s="38" t="n">
        <x:f>Z6</x:f>
        <x:v>0</x:v>
      </x:c>
      <x:c r="AG6" s="38" t="str">
        <x:f>IF(T6="","",IF(Teams!E6&lt;&gt;"Active","Team not active",""))</x:f>
      </x:c>
      <x:c r="AH6" s="38" t="n">
        <x:f>IF(R6="","",COUNTIF($R$5:$R$36,"&lt;"&amp;R6)*100000+S6*1000+COUNTIFS($R$5:$R$36,R6,$S$5:$S$36,S6,$U$5:$U$36,"&lt;="&amp;U6))</x:f>
        <x:v>2401003</x:v>
      </x:c>
    </x:row>
    <x:row r="7" ht="15" hidden="0" customHeight="1">
      <x:c r="A7" s="48" t="str">
        <x:f>IF($Q7="","",INDEX($R$5:$AG$36,MATCH($Q7,$AH$5:$AH$36,0),1))</x:f>
      </x:c>
      <x:c r="B7" s="38" t="str">
        <x:f>IF($Q7="","",INDEX($R$5:$AG$36,MATCH($Q7,$AH$5:$AH$36,0),2))</x:f>
      </x:c>
      <x:c r="C7" s="38" t="str">
        <x:f>IF($Q7="","",INDEX($R$5:$AG$36,MATCH($Q7,$AH$5:$AH$36,0),3))</x:f>
      </x:c>
      <x:c r="D7" s="38" t="str">
        <x:f>IF($Q7="","",INDEX($R$5:$AG$36,MATCH($Q7,$AH$5:$AH$36,0),4))</x:f>
      </x:c>
      <x:c r="E7" s="38" t="str">
        <x:f>IF($Q7="","",INDEX($R$5:$AG$36,MATCH($Q7,$AH$5:$AH$36,0),5))</x:f>
      </x:c>
      <x:c r="F7" s="38" t="str">
        <x:f>IF($Q7="","",INDEX($R$5:$AG$36,MATCH($Q7,$AH$5:$AH$36,0),6))</x:f>
      </x:c>
      <x:c r="G7" s="38" t="str">
        <x:f>IF($Q7="","",INDEX($R$5:$AG$36,MATCH($Q7,$AH$5:$AH$36,0),7))</x:f>
      </x:c>
      <x:c r="H7" s="38" t="str">
        <x:f>IF($Q7="","",INDEX($R$5:$AG$36,MATCH($Q7,$AH$5:$AH$36,0),8))</x:f>
      </x:c>
      <x:c r="I7" s="38" t="str">
        <x:f>IF($Q7="","",INDEX($R$5:$AG$36,MATCH($Q7,$AH$5:$AH$36,0),9))</x:f>
      </x:c>
      <x:c r="J7" s="38" t="str">
        <x:f>IF($Q7="","",INDEX($R$5:$AG$36,MATCH($Q7,$AH$5:$AH$36,0),10))</x:f>
      </x:c>
      <x:c r="K7" s="38" t="str">
        <x:f>IF($Q7="","",INDEX($R$5:$AG$36,MATCH($Q7,$AH$5:$AH$36,0),11))</x:f>
      </x:c>
      <x:c r="L7" s="38" t="str">
        <x:f>IF($Q7="","",INDEX($R$5:$AG$36,MATCH($Q7,$AH$5:$AH$36,0),12))</x:f>
      </x:c>
      <x:c r="M7" s="38" t="str">
        <x:f>IF($Q7="","",INDEX($R$5:$AG$36,MATCH($Q7,$AH$5:$AH$36,0),13))</x:f>
      </x:c>
      <x:c r="N7" s="38" t="str">
        <x:f>IF($Q7="","",INDEX($R$5:$AG$36,MATCH($Q7,$AH$5:$AH$36,0),14))</x:f>
      </x:c>
      <x:c r="O7" s="38" t="str">
        <x:f>IF($Q7="","",INDEX($R$5:$AG$36,MATCH($Q7,$AH$5:$AH$36,0),15))</x:f>
      </x:c>
      <x:c r="P7" s="49" t="str">
        <x:f>IF($Q7="","",INDEX($R$5:$AG$36,MATCH($Q7,$AH$5:$AH$36,0),16))</x:f>
      </x:c>
      <x:c r="Q7" s="38" t="str">
        <x:f>IFERROR(SMALL($AH$5:$AH$36,ROWS($Q$5:Q7)),"")</x:f>
      </x:c>
      <x:c r="R7" s="38" t="str">
        <x:f>IF(Teams!A7="","",Teams!D7)</x:f>
        <x:v>Group A</x:v>
      </x:c>
      <x:c r="S7" s="38" t="n">
        <x:f>IF(T7="","",1+COUNTIFS($R$5:$R$36,R7,$AC$5:$AC$36,"&gt;"&amp;AC7)+COUNTIFS($R$5:$R$36,R7,$AC$5:$AC$36,AC7,$AB$5:$AB$36,"&gt;"&amp;AB7)+COUNTIFS($R$5:$R$36,R7,$AC$5:$AC$36,AC7,$AB$5:$AB$36,AB7,$Z$5:$Z$36,"&gt;"&amp;Z7))</x:f>
        <x:v>1</x:v>
      </x:c>
      <x:c r="T7" s="38" t="str">
        <x:f>Teams!A7</x:f>
        <x:v>T003</x:v>
      </x:c>
      <x:c r="U7" s="38" t="str">
        <x:f>Teams!C7</x:f>
        <x:v>Hillview</x:v>
      </x:c>
      <x:c r="V7" s="38" t="n">
        <x:f>IF(T7="","",SUMPRODUCT(('Official Results'!$K$5:$K$204="Yes")*(('Official Results'!$C$5:$C$204=T7)+('Official Results'!$E$5:$E$204=T7))))</x:f>
        <x:v>0</x:v>
      </x:c>
      <x:c r="W7" s="38" t="n">
        <x:f>IF(T7="","",SUMPRODUCT(('Official Results'!$K$5:$K$204="Yes")*('Official Results'!$C$5:$C$204=T7)*('Official Results'!$G$5:$G$204&gt;'Official Results'!$H$5:$H$204))+SUMPRODUCT(('Official Results'!$K$5:$K$204="Yes")*('Official Results'!$E$5:$E$204=T7)*('Official Results'!$H$5:$H$204&gt;'Official Results'!$G$5:$G$204)))</x:f>
        <x:v>0</x:v>
      </x:c>
      <x:c r="X7" s="38" t="n">
        <x:f>IF(T7="","",SUMPRODUCT(('Official Results'!$K$5:$K$204="Yes")*(('Official Results'!$C$5:$C$204=T7)+('Official Results'!$E$5:$E$204=T7))*('Official Results'!$G$5:$G$204='Official Results'!$H$5:$H$204)))</x:f>
        <x:v>0</x:v>
      </x:c>
      <x:c r="Y7" s="38" t="n">
        <x:f>IF(T7="","",V7-W7-X7)</x:f>
        <x:v>0</x:v>
      </x:c>
      <x:c r="Z7" s="38" t="n">
        <x:f>IF(T7="","",SUMPRODUCT(('Official Results'!$K$5:$K$204="Yes")*('Official Results'!$C$5:$C$204=T7)*'Official Results'!$G$5:$G$204)+SUMPRODUCT(('Official Results'!$K$5:$K$204="Yes")*('Official Results'!$E$5:$E$204=T7)*'Official Results'!$H$5:$H$204))</x:f>
        <x:v>0</x:v>
      </x:c>
      <x:c r="AA7" s="38" t="n">
        <x:f>IF(T7="","",SUMPRODUCT(('Official Results'!$K$5:$K$204="Yes")*('Official Results'!$C$5:$C$204=T7)*'Official Results'!$H$5:$H$204)+SUMPRODUCT(('Official Results'!$K$5:$K$204="Yes")*('Official Results'!$E$5:$E$204=T7)*'Official Results'!$G$5:$G$204))</x:f>
        <x:v>0</x:v>
      </x:c>
      <x:c r="AB7" s="38" t="n">
        <x:f>IF(T7="","",Z7-AA7)</x:f>
        <x:v>0</x:v>
      </x:c>
      <x:c r="AC7" s="38" t="n">
        <x:f>IF(T7="","",W7*Rules!$C$5+X7*Rules!$C$6+Y7*Rules!$C$7)</x:f>
        <x:v>0</x:v>
      </x:c>
      <x:c r="AD7" s="38" t="n">
        <x:f>AC7</x:f>
        <x:v>0</x:v>
      </x:c>
      <x:c r="AE7" s="38" t="n">
        <x:f>AB7</x:f>
        <x:v>0</x:v>
      </x:c>
      <x:c r="AF7" s="38" t="n">
        <x:f>Z7</x:f>
        <x:v>0</x:v>
      </x:c>
      <x:c r="AG7" s="38" t="str">
        <x:f>IF(T7="","",IF(Teams!E7&lt;&gt;"Active","Team not active",""))</x:f>
      </x:c>
      <x:c r="AH7" s="38" t="n">
        <x:f>IF(R7="","",COUNTIF($R$5:$R$36,"&lt;"&amp;R7)*100000+S7*1000+COUNTIFS($R$5:$R$36,R7,$S$5:$S$36,S7,$U$5:$U$36,"&lt;="&amp;U7))</x:f>
        <x:v>2401002</x:v>
      </x:c>
    </x:row>
    <x:row r="8" ht="15" hidden="0" customHeight="1">
      <x:c r="A8" s="48" t="str">
        <x:f>IF($Q8="","",INDEX($R$5:$AG$36,MATCH($Q8,$AH$5:$AH$36,0),1))</x:f>
      </x:c>
      <x:c r="B8" s="38" t="str">
        <x:f>IF($Q8="","",INDEX($R$5:$AG$36,MATCH($Q8,$AH$5:$AH$36,0),2))</x:f>
      </x:c>
      <x:c r="C8" s="38" t="str">
        <x:f>IF($Q8="","",INDEX($R$5:$AG$36,MATCH($Q8,$AH$5:$AH$36,0),3))</x:f>
      </x:c>
      <x:c r="D8" s="38" t="str">
        <x:f>IF($Q8="","",INDEX($R$5:$AG$36,MATCH($Q8,$AH$5:$AH$36,0),4))</x:f>
      </x:c>
      <x:c r="E8" s="38" t="str">
        <x:f>IF($Q8="","",INDEX($R$5:$AG$36,MATCH($Q8,$AH$5:$AH$36,0),5))</x:f>
      </x:c>
      <x:c r="F8" s="38" t="str">
        <x:f>IF($Q8="","",INDEX($R$5:$AG$36,MATCH($Q8,$AH$5:$AH$36,0),6))</x:f>
      </x:c>
      <x:c r="G8" s="38" t="str">
        <x:f>IF($Q8="","",INDEX($R$5:$AG$36,MATCH($Q8,$AH$5:$AH$36,0),7))</x:f>
      </x:c>
      <x:c r="H8" s="38" t="str">
        <x:f>IF($Q8="","",INDEX($R$5:$AG$36,MATCH($Q8,$AH$5:$AH$36,0),8))</x:f>
      </x:c>
      <x:c r="I8" s="38" t="str">
        <x:f>IF($Q8="","",INDEX($R$5:$AG$36,MATCH($Q8,$AH$5:$AH$36,0),9))</x:f>
      </x:c>
      <x:c r="J8" s="38" t="str">
        <x:f>IF($Q8="","",INDEX($R$5:$AG$36,MATCH($Q8,$AH$5:$AH$36,0),10))</x:f>
      </x:c>
      <x:c r="K8" s="38" t="str">
        <x:f>IF($Q8="","",INDEX($R$5:$AG$36,MATCH($Q8,$AH$5:$AH$36,0),11))</x:f>
      </x:c>
      <x:c r="L8" s="38" t="str">
        <x:f>IF($Q8="","",INDEX($R$5:$AG$36,MATCH($Q8,$AH$5:$AH$36,0),12))</x:f>
      </x:c>
      <x:c r="M8" s="38" t="str">
        <x:f>IF($Q8="","",INDEX($R$5:$AG$36,MATCH($Q8,$AH$5:$AH$36,0),13))</x:f>
      </x:c>
      <x:c r="N8" s="38" t="str">
        <x:f>IF($Q8="","",INDEX($R$5:$AG$36,MATCH($Q8,$AH$5:$AH$36,0),14))</x:f>
      </x:c>
      <x:c r="O8" s="38" t="str">
        <x:f>IF($Q8="","",INDEX($R$5:$AG$36,MATCH($Q8,$AH$5:$AH$36,0),15))</x:f>
      </x:c>
      <x:c r="P8" s="49" t="str">
        <x:f>IF($Q8="","",INDEX($R$5:$AG$36,MATCH($Q8,$AH$5:$AH$36,0),16))</x:f>
      </x:c>
      <x:c r="Q8" s="38" t="str">
        <x:f>IFERROR(SMALL($AH$5:$AH$36,ROWS($Q$5:Q8)),"")</x:f>
      </x:c>
      <x:c r="R8" s="38" t="str">
        <x:f>IF(Teams!A8="","",Teams!D8)</x:f>
        <x:v>Group A</x:v>
      </x:c>
      <x:c r="S8" s="38" t="n">
        <x:f>IF(T8="","",1+COUNTIFS($R$5:$R$36,R8,$AC$5:$AC$36,"&gt;"&amp;AC8)+COUNTIFS($R$5:$R$36,R8,$AC$5:$AC$36,AC8,$AB$5:$AB$36,"&gt;"&amp;AB8)+COUNTIFS($R$5:$R$36,R8,$AC$5:$AC$36,AC8,$AB$5:$AB$36,AB8,$Z$5:$Z$36,"&gt;"&amp;Z8))</x:f>
        <x:v>1</x:v>
      </x:c>
      <x:c r="T8" s="38" t="str">
        <x:f>Teams!A8</x:f>
        <x:v>T004</x:v>
      </x:c>
      <x:c r="U8" s="38" t="str">
        <x:f>Teams!C8</x:f>
        <x:v>Central Stars</x:v>
      </x:c>
      <x:c r="V8" s="38" t="n">
        <x:f>IF(T8="","",SUMPRODUCT(('Official Results'!$K$5:$K$204="Yes")*(('Official Results'!$C$5:$C$204=T8)+('Official Results'!$E$5:$E$204=T8))))</x:f>
        <x:v>0</x:v>
      </x:c>
      <x:c r="W8" s="38" t="n">
        <x:f>IF(T8="","",SUMPRODUCT(('Official Results'!$K$5:$K$204="Yes")*('Official Results'!$C$5:$C$204=T8)*('Official Results'!$G$5:$G$204&gt;'Official Results'!$H$5:$H$204))+SUMPRODUCT(('Official Results'!$K$5:$K$204="Yes")*('Official Results'!$E$5:$E$204=T8)*('Official Results'!$H$5:$H$204&gt;'Official Results'!$G$5:$G$204)))</x:f>
        <x:v>0</x:v>
      </x:c>
      <x:c r="X8" s="38" t="n">
        <x:f>IF(T8="","",SUMPRODUCT(('Official Results'!$K$5:$K$204="Yes")*(('Official Results'!$C$5:$C$204=T8)+('Official Results'!$E$5:$E$204=T8))*('Official Results'!$G$5:$G$204='Official Results'!$H$5:$H$204)))</x:f>
        <x:v>0</x:v>
      </x:c>
      <x:c r="Y8" s="38" t="n">
        <x:f>IF(T8="","",V8-W8-X8)</x:f>
        <x:v>0</x:v>
      </x:c>
      <x:c r="Z8" s="38" t="n">
        <x:f>IF(T8="","",SUMPRODUCT(('Official Results'!$K$5:$K$204="Yes")*('Official Results'!$C$5:$C$204=T8)*'Official Results'!$G$5:$G$204)+SUMPRODUCT(('Official Results'!$K$5:$K$204="Yes")*('Official Results'!$E$5:$E$204=T8)*'Official Results'!$H$5:$H$204))</x:f>
        <x:v>0</x:v>
      </x:c>
      <x:c r="AA8" s="38" t="n">
        <x:f>IF(T8="","",SUMPRODUCT(('Official Results'!$K$5:$K$204="Yes")*('Official Results'!$C$5:$C$204=T8)*'Official Results'!$H$5:$H$204)+SUMPRODUCT(('Official Results'!$K$5:$K$204="Yes")*('Official Results'!$E$5:$E$204=T8)*'Official Results'!$G$5:$G$204))</x:f>
        <x:v>0</x:v>
      </x:c>
      <x:c r="AB8" s="38" t="n">
        <x:f>IF(T8="","",Z8-AA8)</x:f>
        <x:v>0</x:v>
      </x:c>
      <x:c r="AC8" s="38" t="n">
        <x:f>IF(T8="","",W8*Rules!$C$5+X8*Rules!$C$6+Y8*Rules!$C$7)</x:f>
        <x:v>0</x:v>
      </x:c>
      <x:c r="AD8" s="38" t="n">
        <x:f>AC8</x:f>
        <x:v>0</x:v>
      </x:c>
      <x:c r="AE8" s="38" t="n">
        <x:f>AB8</x:f>
        <x:v>0</x:v>
      </x:c>
      <x:c r="AF8" s="38" t="n">
        <x:f>Z8</x:f>
        <x:v>0</x:v>
      </x:c>
      <x:c r="AG8" s="38" t="str">
        <x:f>IF(T8="","",IF(Teams!E8&lt;&gt;"Active","Team not active",""))</x:f>
      </x:c>
      <x:c r="AH8" s="38" t="n">
        <x:f>IF(R8="","",COUNTIF($R$5:$R$36,"&lt;"&amp;R8)*100000+S8*1000+COUNTIFS($R$5:$R$36,R8,$S$5:$S$36,S8,$U$5:$U$36,"&lt;="&amp;U8))</x:f>
        <x:v>2401001</x:v>
      </x:c>
    </x:row>
    <x:row r="9" ht="15" hidden="0" customHeight="1">
      <x:c r="A9" s="48" t="str">
        <x:f>IF($Q9="","",INDEX($R$5:$AG$36,MATCH($Q9,$AH$5:$AH$36,0),1))</x:f>
      </x:c>
      <x:c r="B9" s="38" t="str">
        <x:f>IF($Q9="","",INDEX($R$5:$AG$36,MATCH($Q9,$AH$5:$AH$36,0),2))</x:f>
      </x:c>
      <x:c r="C9" s="38" t="str">
        <x:f>IF($Q9="","",INDEX($R$5:$AG$36,MATCH($Q9,$AH$5:$AH$36,0),3))</x:f>
      </x:c>
      <x:c r="D9" s="38" t="str">
        <x:f>IF($Q9="","",INDEX($R$5:$AG$36,MATCH($Q9,$AH$5:$AH$36,0),4))</x:f>
      </x:c>
      <x:c r="E9" s="38" t="str">
        <x:f>IF($Q9="","",INDEX($R$5:$AG$36,MATCH($Q9,$AH$5:$AH$36,0),5))</x:f>
      </x:c>
      <x:c r="F9" s="38" t="str">
        <x:f>IF($Q9="","",INDEX($R$5:$AG$36,MATCH($Q9,$AH$5:$AH$36,0),6))</x:f>
      </x:c>
      <x:c r="G9" s="38" t="str">
        <x:f>IF($Q9="","",INDEX($R$5:$AG$36,MATCH($Q9,$AH$5:$AH$36,0),7))</x:f>
      </x:c>
      <x:c r="H9" s="38" t="str">
        <x:f>IF($Q9="","",INDEX($R$5:$AG$36,MATCH($Q9,$AH$5:$AH$36,0),8))</x:f>
      </x:c>
      <x:c r="I9" s="38" t="str">
        <x:f>IF($Q9="","",INDEX($R$5:$AG$36,MATCH($Q9,$AH$5:$AH$36,0),9))</x:f>
      </x:c>
      <x:c r="J9" s="38" t="str">
        <x:f>IF($Q9="","",INDEX($R$5:$AG$36,MATCH($Q9,$AH$5:$AH$36,0),10))</x:f>
      </x:c>
      <x:c r="K9" s="38" t="str">
        <x:f>IF($Q9="","",INDEX($R$5:$AG$36,MATCH($Q9,$AH$5:$AH$36,0),11))</x:f>
      </x:c>
      <x:c r="L9" s="38" t="str">
        <x:f>IF($Q9="","",INDEX($R$5:$AG$36,MATCH($Q9,$AH$5:$AH$36,0),12))</x:f>
      </x:c>
      <x:c r="M9" s="38" t="str">
        <x:f>IF($Q9="","",INDEX($R$5:$AG$36,MATCH($Q9,$AH$5:$AH$36,0),13))</x:f>
      </x:c>
      <x:c r="N9" s="38" t="str">
        <x:f>IF($Q9="","",INDEX($R$5:$AG$36,MATCH($Q9,$AH$5:$AH$36,0),14))</x:f>
      </x:c>
      <x:c r="O9" s="38" t="str">
        <x:f>IF($Q9="","",INDEX($R$5:$AG$36,MATCH($Q9,$AH$5:$AH$36,0),15))</x:f>
      </x:c>
      <x:c r="P9" s="49" t="str">
        <x:f>IF($Q9="","",INDEX($R$5:$AG$36,MATCH($Q9,$AH$5:$AH$36,0),16))</x:f>
      </x:c>
      <x:c r="Q9" s="38" t="str">
        <x:f>IFERROR(SMALL($AH$5:$AH$36,ROWS($Q$5:Q9)),"")</x:f>
      </x:c>
      <x:c r="R9" s="38" t="str">
        <x:f>IF(Teams!A9="","",Teams!D9)</x:f>
        <x:v>Group B</x:v>
      </x:c>
      <x:c r="S9" s="38" t="n">
        <x:f>IF(T9="","",1+COUNTIFS($R$5:$R$36,R9,$AC$5:$AC$36,"&gt;"&amp;AC9)+COUNTIFS($R$5:$R$36,R9,$AC$5:$AC$36,AC9,$AB$5:$AB$36,"&gt;"&amp;AB9)+COUNTIFS($R$5:$R$36,R9,$AC$5:$AC$36,AC9,$AB$5:$AB$36,AB9,$Z$5:$Z$36,"&gt;"&amp;Z9))</x:f>
        <x:v>1</x:v>
      </x:c>
      <x:c r="T9" s="38" t="str">
        <x:f>Teams!A9</x:f>
        <x:v>T005</x:v>
      </x:c>
      <x:c r="U9" s="38" t="str">
        <x:f>Teams!C9</x:f>
        <x:v>North End</x:v>
      </x:c>
      <x:c r="V9" s="38" t="n">
        <x:f>IF(T9="","",SUMPRODUCT(('Official Results'!$K$5:$K$204="Yes")*(('Official Results'!$C$5:$C$204=T9)+('Official Results'!$E$5:$E$204=T9))))</x:f>
        <x:v>0</x:v>
      </x:c>
      <x:c r="W9" s="38" t="n">
        <x:f>IF(T9="","",SUMPRODUCT(('Official Results'!$K$5:$K$204="Yes")*('Official Results'!$C$5:$C$204=T9)*('Official Results'!$G$5:$G$204&gt;'Official Results'!$H$5:$H$204))+SUMPRODUCT(('Official Results'!$K$5:$K$204="Yes")*('Official Results'!$E$5:$E$204=T9)*('Official Results'!$H$5:$H$204&gt;'Official Results'!$G$5:$G$204)))</x:f>
        <x:v>0</x:v>
      </x:c>
      <x:c r="X9" s="38" t="n">
        <x:f>IF(T9="","",SUMPRODUCT(('Official Results'!$K$5:$K$204="Yes")*(('Official Results'!$C$5:$C$204=T9)+('Official Results'!$E$5:$E$204=T9))*('Official Results'!$G$5:$G$204='Official Results'!$H$5:$H$204)))</x:f>
        <x:v>0</x:v>
      </x:c>
      <x:c r="Y9" s="38" t="n">
        <x:f>IF(T9="","",V9-W9-X9)</x:f>
        <x:v>0</x:v>
      </x:c>
      <x:c r="Z9" s="38" t="n">
        <x:f>IF(T9="","",SUMPRODUCT(('Official Results'!$K$5:$K$204="Yes")*('Official Results'!$C$5:$C$204=T9)*'Official Results'!$G$5:$G$204)+SUMPRODUCT(('Official Results'!$K$5:$K$204="Yes")*('Official Results'!$E$5:$E$204=T9)*'Official Results'!$H$5:$H$204))</x:f>
        <x:v>0</x:v>
      </x:c>
      <x:c r="AA9" s="38" t="n">
        <x:f>IF(T9="","",SUMPRODUCT(('Official Results'!$K$5:$K$204="Yes")*('Official Results'!$C$5:$C$204=T9)*'Official Results'!$H$5:$H$204)+SUMPRODUCT(('Official Results'!$K$5:$K$204="Yes")*('Official Results'!$E$5:$E$204=T9)*'Official Results'!$G$5:$G$204))</x:f>
        <x:v>0</x:v>
      </x:c>
      <x:c r="AB9" s="38" t="n">
        <x:f>IF(T9="","",Z9-AA9)</x:f>
        <x:v>0</x:v>
      </x:c>
      <x:c r="AC9" s="38" t="n">
        <x:f>IF(T9="","",W9*Rules!$C$5+X9*Rules!$C$6+Y9*Rules!$C$7)</x:f>
        <x:v>0</x:v>
      </x:c>
      <x:c r="AD9" s="38" t="n">
        <x:f>AC9</x:f>
        <x:v>0</x:v>
      </x:c>
      <x:c r="AE9" s="38" t="n">
        <x:f>AB9</x:f>
        <x:v>0</x:v>
      </x:c>
      <x:c r="AF9" s="38" t="n">
        <x:f>Z9</x:f>
        <x:v>0</x:v>
      </x:c>
      <x:c r="AG9" s="38" t="str">
        <x:f>IF(T9="","",IF(Teams!E9&lt;&gt;"Active","Team not active",""))</x:f>
      </x:c>
      <x:c r="AH9" s="38" t="n">
        <x:f>IF(R9="","",COUNTIF($R$5:$R$36,"&lt;"&amp;R9)*100000+S9*1000+COUNTIFS($R$5:$R$36,R9,$S$5:$S$36,S9,$U$5:$U$36,"&lt;="&amp;U9))</x:f>
        <x:v>2801003</x:v>
      </x:c>
    </x:row>
    <x:row r="10" ht="15" hidden="0" customHeight="1">
      <x:c r="A10" s="48" t="str">
        <x:f>IF($Q10="","",INDEX($R$5:$AG$36,MATCH($Q10,$AH$5:$AH$36,0),1))</x:f>
      </x:c>
      <x:c r="B10" s="38" t="str">
        <x:f>IF($Q10="","",INDEX($R$5:$AG$36,MATCH($Q10,$AH$5:$AH$36,0),2))</x:f>
      </x:c>
      <x:c r="C10" s="38" t="str">
        <x:f>IF($Q10="","",INDEX($R$5:$AG$36,MATCH($Q10,$AH$5:$AH$36,0),3))</x:f>
      </x:c>
      <x:c r="D10" s="38" t="str">
        <x:f>IF($Q10="","",INDEX($R$5:$AG$36,MATCH($Q10,$AH$5:$AH$36,0),4))</x:f>
      </x:c>
      <x:c r="E10" s="38" t="str">
        <x:f>IF($Q10="","",INDEX($R$5:$AG$36,MATCH($Q10,$AH$5:$AH$36,0),5))</x:f>
      </x:c>
      <x:c r="F10" s="38" t="str">
        <x:f>IF($Q10="","",INDEX($R$5:$AG$36,MATCH($Q10,$AH$5:$AH$36,0),6))</x:f>
      </x:c>
      <x:c r="G10" s="38" t="str">
        <x:f>IF($Q10="","",INDEX($R$5:$AG$36,MATCH($Q10,$AH$5:$AH$36,0),7))</x:f>
      </x:c>
      <x:c r="H10" s="38" t="str">
        <x:f>IF($Q10="","",INDEX($R$5:$AG$36,MATCH($Q10,$AH$5:$AH$36,0),8))</x:f>
      </x:c>
      <x:c r="I10" s="38" t="str">
        <x:f>IF($Q10="","",INDEX($R$5:$AG$36,MATCH($Q10,$AH$5:$AH$36,0),9))</x:f>
      </x:c>
      <x:c r="J10" s="38" t="str">
        <x:f>IF($Q10="","",INDEX($R$5:$AG$36,MATCH($Q10,$AH$5:$AH$36,0),10))</x:f>
      </x:c>
      <x:c r="K10" s="38" t="str">
        <x:f>IF($Q10="","",INDEX($R$5:$AG$36,MATCH($Q10,$AH$5:$AH$36,0),11))</x:f>
      </x:c>
      <x:c r="L10" s="38" t="str">
        <x:f>IF($Q10="","",INDEX($R$5:$AG$36,MATCH($Q10,$AH$5:$AH$36,0),12))</x:f>
      </x:c>
      <x:c r="M10" s="38" t="str">
        <x:f>IF($Q10="","",INDEX($R$5:$AG$36,MATCH($Q10,$AH$5:$AH$36,0),13))</x:f>
      </x:c>
      <x:c r="N10" s="38" t="str">
        <x:f>IF($Q10="","",INDEX($R$5:$AG$36,MATCH($Q10,$AH$5:$AH$36,0),14))</x:f>
      </x:c>
      <x:c r="O10" s="38" t="str">
        <x:f>IF($Q10="","",INDEX($R$5:$AG$36,MATCH($Q10,$AH$5:$AH$36,0),15))</x:f>
      </x:c>
      <x:c r="P10" s="49" t="str">
        <x:f>IF($Q10="","",INDEX($R$5:$AG$36,MATCH($Q10,$AH$5:$AH$36,0),16))</x:f>
      </x:c>
      <x:c r="Q10" s="38" t="str">
        <x:f>IFERROR(SMALL($AH$5:$AH$36,ROWS($Q$5:Q10)),"")</x:f>
      </x:c>
      <x:c r="R10" s="38" t="str">
        <x:f>IF(Teams!A10="","",Teams!D10)</x:f>
        <x:v>Group B</x:v>
      </x:c>
      <x:c r="S10" s="38" t="n">
        <x:f>IF(T10="","",1+COUNTIFS($R$5:$R$36,R10,$AC$5:$AC$36,"&gt;"&amp;AC10)+COUNTIFS($R$5:$R$36,R10,$AC$5:$AC$36,AC10,$AB$5:$AB$36,"&gt;"&amp;AB10)+COUNTIFS($R$5:$R$36,R10,$AC$5:$AC$36,AC10,$AB$5:$AB$36,AB10,$Z$5:$Z$36,"&gt;"&amp;Z10))</x:f>
        <x:v>1</x:v>
      </x:c>
      <x:c r="T10" s="38" t="str">
        <x:f>Teams!A10</x:f>
        <x:v>T006</x:v>
      </x:c>
      <x:c r="U10" s="38" t="str">
        <x:f>Teams!C10</x:f>
        <x:v>Metro Rangers</x:v>
      </x:c>
      <x:c r="V10" s="38" t="n">
        <x:f>IF(T10="","",SUMPRODUCT(('Official Results'!$K$5:$K$204="Yes")*(('Official Results'!$C$5:$C$204=T10)+('Official Results'!$E$5:$E$204=T10))))</x:f>
        <x:v>0</x:v>
      </x:c>
      <x:c r="W10" s="38" t="n">
        <x:f>IF(T10="","",SUMPRODUCT(('Official Results'!$K$5:$K$204="Yes")*('Official Results'!$C$5:$C$204=T10)*('Official Results'!$G$5:$G$204&gt;'Official Results'!$H$5:$H$204))+SUMPRODUCT(('Official Results'!$K$5:$K$204="Yes")*('Official Results'!$E$5:$E$204=T10)*('Official Results'!$H$5:$H$204&gt;'Official Results'!$G$5:$G$204)))</x:f>
        <x:v>0</x:v>
      </x:c>
      <x:c r="X10" s="38" t="n">
        <x:f>IF(T10="","",SUMPRODUCT(('Official Results'!$K$5:$K$204="Yes")*(('Official Results'!$C$5:$C$204=T10)+('Official Results'!$E$5:$E$204=T10))*('Official Results'!$G$5:$G$204='Official Results'!$H$5:$H$204)))</x:f>
        <x:v>0</x:v>
      </x:c>
      <x:c r="Y10" s="38" t="n">
        <x:f>IF(T10="","",V10-W10-X10)</x:f>
        <x:v>0</x:v>
      </x:c>
      <x:c r="Z10" s="38" t="n">
        <x:f>IF(T10="","",SUMPRODUCT(('Official Results'!$K$5:$K$204="Yes")*('Official Results'!$C$5:$C$204=T10)*'Official Results'!$G$5:$G$204)+SUMPRODUCT(('Official Results'!$K$5:$K$204="Yes")*('Official Results'!$E$5:$E$204=T10)*'Official Results'!$H$5:$H$204))</x:f>
        <x:v>0</x:v>
      </x:c>
      <x:c r="AA10" s="38" t="n">
        <x:f>IF(T10="","",SUMPRODUCT(('Official Results'!$K$5:$K$204="Yes")*('Official Results'!$C$5:$C$204=T10)*'Official Results'!$H$5:$H$204)+SUMPRODUCT(('Official Results'!$K$5:$K$204="Yes")*('Official Results'!$E$5:$E$204=T10)*'Official Results'!$G$5:$G$204))</x:f>
        <x:v>0</x:v>
      </x:c>
      <x:c r="AB10" s="38" t="n">
        <x:f>IF(T10="","",Z10-AA10)</x:f>
        <x:v>0</x:v>
      </x:c>
      <x:c r="AC10" s="38" t="n">
        <x:f>IF(T10="","",W10*Rules!$C$5+X10*Rules!$C$6+Y10*Rules!$C$7)</x:f>
        <x:v>0</x:v>
      </x:c>
      <x:c r="AD10" s="38" t="n">
        <x:f>AC10</x:f>
        <x:v>0</x:v>
      </x:c>
      <x:c r="AE10" s="38" t="n">
        <x:f>AB10</x:f>
        <x:v>0</x:v>
      </x:c>
      <x:c r="AF10" s="38" t="n">
        <x:f>Z10</x:f>
        <x:v>0</x:v>
      </x:c>
      <x:c r="AG10" s="38" t="str">
        <x:f>IF(T10="","",IF(Teams!E10&lt;&gt;"Active","Team not active",""))</x:f>
      </x:c>
      <x:c r="AH10" s="38" t="n">
        <x:f>IF(R10="","",COUNTIF($R$5:$R$36,"&lt;"&amp;R10)*100000+S10*1000+COUNTIFS($R$5:$R$36,R10,$S$5:$S$36,S10,$U$5:$U$36,"&lt;="&amp;U10))</x:f>
        <x:v>2801002</x:v>
      </x:c>
    </x:row>
    <x:row r="11" ht="15" hidden="0" customHeight="1">
      <x:c r="A11" s="48" t="str">
        <x:f>IF($Q11="","",INDEX($R$5:$AG$36,MATCH($Q11,$AH$5:$AH$36,0),1))</x:f>
      </x:c>
      <x:c r="B11" s="38" t="str">
        <x:f>IF($Q11="","",INDEX($R$5:$AG$36,MATCH($Q11,$AH$5:$AH$36,0),2))</x:f>
      </x:c>
      <x:c r="C11" s="38" t="str">
        <x:f>IF($Q11="","",INDEX($R$5:$AG$36,MATCH($Q11,$AH$5:$AH$36,0),3))</x:f>
      </x:c>
      <x:c r="D11" s="38" t="str">
        <x:f>IF($Q11="","",INDEX($R$5:$AG$36,MATCH($Q11,$AH$5:$AH$36,0),4))</x:f>
      </x:c>
      <x:c r="E11" s="38" t="str">
        <x:f>IF($Q11="","",INDEX($R$5:$AG$36,MATCH($Q11,$AH$5:$AH$36,0),5))</x:f>
      </x:c>
      <x:c r="F11" s="38" t="str">
        <x:f>IF($Q11="","",INDEX($R$5:$AG$36,MATCH($Q11,$AH$5:$AH$36,0),6))</x:f>
      </x:c>
      <x:c r="G11" s="38" t="str">
        <x:f>IF($Q11="","",INDEX($R$5:$AG$36,MATCH($Q11,$AH$5:$AH$36,0),7))</x:f>
      </x:c>
      <x:c r="H11" s="38" t="str">
        <x:f>IF($Q11="","",INDEX($R$5:$AG$36,MATCH($Q11,$AH$5:$AH$36,0),8))</x:f>
      </x:c>
      <x:c r="I11" s="38" t="str">
        <x:f>IF($Q11="","",INDEX($R$5:$AG$36,MATCH($Q11,$AH$5:$AH$36,0),9))</x:f>
      </x:c>
      <x:c r="J11" s="38" t="str">
        <x:f>IF($Q11="","",INDEX($R$5:$AG$36,MATCH($Q11,$AH$5:$AH$36,0),10))</x:f>
      </x:c>
      <x:c r="K11" s="38" t="str">
        <x:f>IF($Q11="","",INDEX($R$5:$AG$36,MATCH($Q11,$AH$5:$AH$36,0),11))</x:f>
      </x:c>
      <x:c r="L11" s="38" t="str">
        <x:f>IF($Q11="","",INDEX($R$5:$AG$36,MATCH($Q11,$AH$5:$AH$36,0),12))</x:f>
      </x:c>
      <x:c r="M11" s="38" t="str">
        <x:f>IF($Q11="","",INDEX($R$5:$AG$36,MATCH($Q11,$AH$5:$AH$36,0),13))</x:f>
      </x:c>
      <x:c r="N11" s="38" t="str">
        <x:f>IF($Q11="","",INDEX($R$5:$AG$36,MATCH($Q11,$AH$5:$AH$36,0),14))</x:f>
      </x:c>
      <x:c r="O11" s="38" t="str">
        <x:f>IF($Q11="","",INDEX($R$5:$AG$36,MATCH($Q11,$AH$5:$AH$36,0),15))</x:f>
      </x:c>
      <x:c r="P11" s="49" t="str">
        <x:f>IF($Q11="","",INDEX($R$5:$AG$36,MATCH($Q11,$AH$5:$AH$36,0),16))</x:f>
      </x:c>
      <x:c r="Q11" s="38" t="str">
        <x:f>IFERROR(SMALL($AH$5:$AH$36,ROWS($Q$5:Q11)),"")</x:f>
      </x:c>
      <x:c r="R11" s="38" t="str">
        <x:f>IF(Teams!A11="","",Teams!D11)</x:f>
        <x:v>Group B</x:v>
      </x:c>
      <x:c r="S11" s="38" t="n">
        <x:f>IF(T11="","",1+COUNTIFS($R$5:$R$36,R11,$AC$5:$AC$36,"&gt;"&amp;AC11)+COUNTIFS($R$5:$R$36,R11,$AC$5:$AC$36,AC11,$AB$5:$AB$36,"&gt;"&amp;AB11)+COUNTIFS($R$5:$R$36,R11,$AC$5:$AC$36,AC11,$AB$5:$AB$36,AB11,$Z$5:$Z$36,"&gt;"&amp;Z11))</x:f>
        <x:v>1</x:v>
      </x:c>
      <x:c r="T11" s="38" t="str">
        <x:f>Teams!A11</x:f>
        <x:v>T007</x:v>
      </x:c>
      <x:c r="U11" s="38" t="str">
        <x:f>Teams!C11</x:f>
        <x:v>Eastside</x:v>
      </x:c>
      <x:c r="V11" s="38" t="n">
        <x:f>IF(T11="","",SUMPRODUCT(('Official Results'!$K$5:$K$204="Yes")*(('Official Results'!$C$5:$C$204=T11)+('Official Results'!$E$5:$E$204=T11))))</x:f>
        <x:v>0</x:v>
      </x:c>
      <x:c r="W11" s="38" t="n">
        <x:f>IF(T11="","",SUMPRODUCT(('Official Results'!$K$5:$K$204="Yes")*('Official Results'!$C$5:$C$204=T11)*('Official Results'!$G$5:$G$204&gt;'Official Results'!$H$5:$H$204))+SUMPRODUCT(('Official Results'!$K$5:$K$204="Yes")*('Official Results'!$E$5:$E$204=T11)*('Official Results'!$H$5:$H$204&gt;'Official Results'!$G$5:$G$204)))</x:f>
        <x:v>0</x:v>
      </x:c>
      <x:c r="X11" s="38" t="n">
        <x:f>IF(T11="","",SUMPRODUCT(('Official Results'!$K$5:$K$204="Yes")*(('Official Results'!$C$5:$C$204=T11)+('Official Results'!$E$5:$E$204=T11))*('Official Results'!$G$5:$G$204='Official Results'!$H$5:$H$204)))</x:f>
        <x:v>0</x:v>
      </x:c>
      <x:c r="Y11" s="38" t="n">
        <x:f>IF(T11="","",V11-W11-X11)</x:f>
        <x:v>0</x:v>
      </x:c>
      <x:c r="Z11" s="38" t="n">
        <x:f>IF(T11="","",SUMPRODUCT(('Official Results'!$K$5:$K$204="Yes")*('Official Results'!$C$5:$C$204=T11)*'Official Results'!$G$5:$G$204)+SUMPRODUCT(('Official Results'!$K$5:$K$204="Yes")*('Official Results'!$E$5:$E$204=T11)*'Official Results'!$H$5:$H$204))</x:f>
        <x:v>0</x:v>
      </x:c>
      <x:c r="AA11" s="38" t="n">
        <x:f>IF(T11="","",SUMPRODUCT(('Official Results'!$K$5:$K$204="Yes")*('Official Results'!$C$5:$C$204=T11)*'Official Results'!$H$5:$H$204)+SUMPRODUCT(('Official Results'!$K$5:$K$204="Yes")*('Official Results'!$E$5:$E$204=T11)*'Official Results'!$G$5:$G$204))</x:f>
        <x:v>0</x:v>
      </x:c>
      <x:c r="AB11" s="38" t="n">
        <x:f>IF(T11="","",Z11-AA11)</x:f>
        <x:v>0</x:v>
      </x:c>
      <x:c r="AC11" s="38" t="n">
        <x:f>IF(T11="","",W11*Rules!$C$5+X11*Rules!$C$6+Y11*Rules!$C$7)</x:f>
        <x:v>0</x:v>
      </x:c>
      <x:c r="AD11" s="38" t="n">
        <x:f>AC11</x:f>
        <x:v>0</x:v>
      </x:c>
      <x:c r="AE11" s="38" t="n">
        <x:f>AB11</x:f>
        <x:v>0</x:v>
      </x:c>
      <x:c r="AF11" s="38" t="n">
        <x:f>Z11</x:f>
        <x:v>0</x:v>
      </x:c>
      <x:c r="AG11" s="38" t="str">
        <x:f>IF(T11="","",IF(Teams!E11&lt;&gt;"Active","Team not active",""))</x:f>
      </x:c>
      <x:c r="AH11" s="38" t="n">
        <x:f>IF(R11="","",COUNTIF($R$5:$R$36,"&lt;"&amp;R11)*100000+S11*1000+COUNTIFS($R$5:$R$36,R11,$S$5:$S$36,S11,$U$5:$U$36,"&lt;="&amp;U11))</x:f>
        <x:v>2801001</x:v>
      </x:c>
    </x:row>
    <x:row r="12" ht="15" hidden="0" customHeight="1">
      <x:c r="A12" s="48" t="str">
        <x:f>IF($Q12="","",INDEX($R$5:$AG$36,MATCH($Q12,$AH$5:$AH$36,0),1))</x:f>
      </x:c>
      <x:c r="B12" s="38" t="str">
        <x:f>IF($Q12="","",INDEX($R$5:$AG$36,MATCH($Q12,$AH$5:$AH$36,0),2))</x:f>
      </x:c>
      <x:c r="C12" s="38" t="str">
        <x:f>IF($Q12="","",INDEX($R$5:$AG$36,MATCH($Q12,$AH$5:$AH$36,0),3))</x:f>
      </x:c>
      <x:c r="D12" s="38" t="str">
        <x:f>IF($Q12="","",INDEX($R$5:$AG$36,MATCH($Q12,$AH$5:$AH$36,0),4))</x:f>
      </x:c>
      <x:c r="E12" s="38" t="str">
        <x:f>IF($Q12="","",INDEX($R$5:$AG$36,MATCH($Q12,$AH$5:$AH$36,0),5))</x:f>
      </x:c>
      <x:c r="F12" s="38" t="str">
        <x:f>IF($Q12="","",INDEX($R$5:$AG$36,MATCH($Q12,$AH$5:$AH$36,0),6))</x:f>
      </x:c>
      <x:c r="G12" s="38" t="str">
        <x:f>IF($Q12="","",INDEX($R$5:$AG$36,MATCH($Q12,$AH$5:$AH$36,0),7))</x:f>
      </x:c>
      <x:c r="H12" s="38" t="str">
        <x:f>IF($Q12="","",INDEX($R$5:$AG$36,MATCH($Q12,$AH$5:$AH$36,0),8))</x:f>
      </x:c>
      <x:c r="I12" s="38" t="str">
        <x:f>IF($Q12="","",INDEX($R$5:$AG$36,MATCH($Q12,$AH$5:$AH$36,0),9))</x:f>
      </x:c>
      <x:c r="J12" s="38" t="str">
        <x:f>IF($Q12="","",INDEX($R$5:$AG$36,MATCH($Q12,$AH$5:$AH$36,0),10))</x:f>
      </x:c>
      <x:c r="K12" s="38" t="str">
        <x:f>IF($Q12="","",INDEX($R$5:$AG$36,MATCH($Q12,$AH$5:$AH$36,0),11))</x:f>
      </x:c>
      <x:c r="L12" s="38" t="str">
        <x:f>IF($Q12="","",INDEX($R$5:$AG$36,MATCH($Q12,$AH$5:$AH$36,0),12))</x:f>
      </x:c>
      <x:c r="M12" s="38" t="str">
        <x:f>IF($Q12="","",INDEX($R$5:$AG$36,MATCH($Q12,$AH$5:$AH$36,0),13))</x:f>
      </x:c>
      <x:c r="N12" s="38" t="str">
        <x:f>IF($Q12="","",INDEX($R$5:$AG$36,MATCH($Q12,$AH$5:$AH$36,0),14))</x:f>
      </x:c>
      <x:c r="O12" s="38" t="str">
        <x:f>IF($Q12="","",INDEX($R$5:$AG$36,MATCH($Q12,$AH$5:$AH$36,0),15))</x:f>
      </x:c>
      <x:c r="P12" s="49" t="str">
        <x:f>IF($Q12="","",INDEX($R$5:$AG$36,MATCH($Q12,$AH$5:$AH$36,0),16))</x:f>
      </x:c>
      <x:c r="Q12" s="38" t="str">
        <x:f>IFERROR(SMALL($AH$5:$AH$36,ROWS($Q$5:Q12)),"")</x:f>
      </x:c>
      <x:c r="R12" s="38" t="str">
        <x:f>IF(Teams!A12="","",Teams!D12)</x:f>
        <x:v>Group B</x:v>
      </x:c>
      <x:c r="S12" s="38" t="n">
        <x:f>IF(T12="","",1+COUNTIFS($R$5:$R$36,R12,$AC$5:$AC$36,"&gt;"&amp;AC12)+COUNTIFS($R$5:$R$36,R12,$AC$5:$AC$36,AC12,$AB$5:$AB$36,"&gt;"&amp;AB12)+COUNTIFS($R$5:$R$36,R12,$AC$5:$AC$36,AC12,$AB$5:$AB$36,AB12,$Z$5:$Z$36,"&gt;"&amp;Z12))</x:f>
        <x:v>1</x:v>
      </x:c>
      <x:c r="T12" s="38" t="str">
        <x:f>Teams!A12</x:f>
        <x:v>T008</x:v>
      </x:c>
      <x:c r="U12" s="38" t="str">
        <x:f>Teams!C12</x:f>
        <x:v>Westbrook</x:v>
      </x:c>
      <x:c r="V12" s="38" t="n">
        <x:f>IF(T12="","",SUMPRODUCT(('Official Results'!$K$5:$K$204="Yes")*(('Official Results'!$C$5:$C$204=T12)+('Official Results'!$E$5:$E$204=T12))))</x:f>
        <x:v>0</x:v>
      </x:c>
      <x:c r="W12" s="38" t="n">
        <x:f>IF(T12="","",SUMPRODUCT(('Official Results'!$K$5:$K$204="Yes")*('Official Results'!$C$5:$C$204=T12)*('Official Results'!$G$5:$G$204&gt;'Official Results'!$H$5:$H$204))+SUMPRODUCT(('Official Results'!$K$5:$K$204="Yes")*('Official Results'!$E$5:$E$204=T12)*('Official Results'!$H$5:$H$204&gt;'Official Results'!$G$5:$G$204)))</x:f>
        <x:v>0</x:v>
      </x:c>
      <x:c r="X12" s="38" t="n">
        <x:f>IF(T12="","",SUMPRODUCT(('Official Results'!$K$5:$K$204="Yes")*(('Official Results'!$C$5:$C$204=T12)+('Official Results'!$E$5:$E$204=T12))*('Official Results'!$G$5:$G$204='Official Results'!$H$5:$H$204)))</x:f>
        <x:v>0</x:v>
      </x:c>
      <x:c r="Y12" s="38" t="n">
        <x:f>IF(T12="","",V12-W12-X12)</x:f>
        <x:v>0</x:v>
      </x:c>
      <x:c r="Z12" s="38" t="n">
        <x:f>IF(T12="","",SUMPRODUCT(('Official Results'!$K$5:$K$204="Yes")*('Official Results'!$C$5:$C$204=T12)*'Official Results'!$G$5:$G$204)+SUMPRODUCT(('Official Results'!$K$5:$K$204="Yes")*('Official Results'!$E$5:$E$204=T12)*'Official Results'!$H$5:$H$204))</x:f>
        <x:v>0</x:v>
      </x:c>
      <x:c r="AA12" s="38" t="n">
        <x:f>IF(T12="","",SUMPRODUCT(('Official Results'!$K$5:$K$204="Yes")*('Official Results'!$C$5:$C$204=T12)*'Official Results'!$H$5:$H$204)+SUMPRODUCT(('Official Results'!$K$5:$K$204="Yes")*('Official Results'!$E$5:$E$204=T12)*'Official Results'!$G$5:$G$204))</x:f>
        <x:v>0</x:v>
      </x:c>
      <x:c r="AB12" s="38" t="n">
        <x:f>IF(T12="","",Z12-AA12)</x:f>
        <x:v>0</x:v>
      </x:c>
      <x:c r="AC12" s="38" t="n">
        <x:f>IF(T12="","",W12*Rules!$C$5+X12*Rules!$C$6+Y12*Rules!$C$7)</x:f>
        <x:v>0</x:v>
      </x:c>
      <x:c r="AD12" s="38" t="n">
        <x:f>AC12</x:f>
        <x:v>0</x:v>
      </x:c>
      <x:c r="AE12" s="38" t="n">
        <x:f>AB12</x:f>
        <x:v>0</x:v>
      </x:c>
      <x:c r="AF12" s="38" t="n">
        <x:f>Z12</x:f>
        <x:v>0</x:v>
      </x:c>
      <x:c r="AG12" s="38" t="str">
        <x:f>IF(T12="","",IF(Teams!E12&lt;&gt;"Active","Team not active",""))</x:f>
      </x:c>
      <x:c r="AH12" s="38" t="n">
        <x:f>IF(R12="","",COUNTIF($R$5:$R$36,"&lt;"&amp;R12)*100000+S12*1000+COUNTIFS($R$5:$R$36,R12,$S$5:$S$36,S12,$U$5:$U$36,"&lt;="&amp;U12))</x:f>
        <x:v>2801004</x:v>
      </x:c>
    </x:row>
    <x:row r="13" ht="15" hidden="0" customHeight="1">
      <x:c r="A13" s="48" t="str">
        <x:f>IF($Q13="","",INDEX($R$5:$AG$36,MATCH($Q13,$AH$5:$AH$36,0),1))</x:f>
      </x:c>
      <x:c r="B13" s="38" t="str">
        <x:f>IF($Q13="","",INDEX($R$5:$AG$36,MATCH($Q13,$AH$5:$AH$36,0),2))</x:f>
      </x:c>
      <x:c r="C13" s="38" t="str">
        <x:f>IF($Q13="","",INDEX($R$5:$AG$36,MATCH($Q13,$AH$5:$AH$36,0),3))</x:f>
      </x:c>
      <x:c r="D13" s="38" t="str">
        <x:f>IF($Q13="","",INDEX($R$5:$AG$36,MATCH($Q13,$AH$5:$AH$36,0),4))</x:f>
      </x:c>
      <x:c r="E13" s="38" t="str">
        <x:f>IF($Q13="","",INDEX($R$5:$AG$36,MATCH($Q13,$AH$5:$AH$36,0),5))</x:f>
      </x:c>
      <x:c r="F13" s="38" t="str">
        <x:f>IF($Q13="","",INDEX($R$5:$AG$36,MATCH($Q13,$AH$5:$AH$36,0),6))</x:f>
      </x:c>
      <x:c r="G13" s="38" t="str">
        <x:f>IF($Q13="","",INDEX($R$5:$AG$36,MATCH($Q13,$AH$5:$AH$36,0),7))</x:f>
      </x:c>
      <x:c r="H13" s="38" t="str">
        <x:f>IF($Q13="","",INDEX($R$5:$AG$36,MATCH($Q13,$AH$5:$AH$36,0),8))</x:f>
      </x:c>
      <x:c r="I13" s="38" t="str">
        <x:f>IF($Q13="","",INDEX($R$5:$AG$36,MATCH($Q13,$AH$5:$AH$36,0),9))</x:f>
      </x:c>
      <x:c r="J13" s="38" t="str">
        <x:f>IF($Q13="","",INDEX($R$5:$AG$36,MATCH($Q13,$AH$5:$AH$36,0),10))</x:f>
      </x:c>
      <x:c r="K13" s="38" t="str">
        <x:f>IF($Q13="","",INDEX($R$5:$AG$36,MATCH($Q13,$AH$5:$AH$36,0),11))</x:f>
      </x:c>
      <x:c r="L13" s="38" t="str">
        <x:f>IF($Q13="","",INDEX($R$5:$AG$36,MATCH($Q13,$AH$5:$AH$36,0),12))</x:f>
      </x:c>
      <x:c r="M13" s="38" t="str">
        <x:f>IF($Q13="","",INDEX($R$5:$AG$36,MATCH($Q13,$AH$5:$AH$36,0),13))</x:f>
      </x:c>
      <x:c r="N13" s="38" t="str">
        <x:f>IF($Q13="","",INDEX($R$5:$AG$36,MATCH($Q13,$AH$5:$AH$36,0),14))</x:f>
      </x:c>
      <x:c r="O13" s="38" t="str">
        <x:f>IF($Q13="","",INDEX($R$5:$AG$36,MATCH($Q13,$AH$5:$AH$36,0),15))</x:f>
      </x:c>
      <x:c r="P13" s="49" t="str">
        <x:f>IF($Q13="","",INDEX($R$5:$AG$36,MATCH($Q13,$AH$5:$AH$36,0),16))</x:f>
      </x:c>
      <x:c r="Q13" s="38" t="str">
        <x:f>IFERROR(SMALL($AH$5:$AH$36,ROWS($Q$5:Q13)),"")</x:f>
      </x:c>
      <x:c r="R13" s="38" t="str">
        <x:f>IF(Teams!A13="","",Teams!D13)</x:f>
      </x:c>
      <x:c r="S13" s="38" t="str">
        <x:f>IF(T13="","",1+COUNTIFS($R$5:$R$36,R13,$AC$5:$AC$36,"&gt;"&amp;AC13)+COUNTIFS($R$5:$R$36,R13,$AC$5:$AC$36,AC13,$AB$5:$AB$36,"&gt;"&amp;AB13)+COUNTIFS($R$5:$R$36,R13,$AC$5:$AC$36,AC13,$AB$5:$AB$36,AB13,$Z$5:$Z$36,"&gt;"&amp;Z13))</x:f>
      </x:c>
      <x:c r="T13" s="38" t="n">
        <x:f>Teams!A13</x:f>
        <x:v>0</x:v>
      </x:c>
      <x:c r="U13" s="38" t="n">
        <x:f>Teams!C13</x:f>
        <x:v>0</x:v>
      </x:c>
      <x:c r="V13" s="38" t="str">
        <x:f>IF(T13="","",SUMPRODUCT(('Official Results'!$K$5:$K$204="Yes")*(('Official Results'!$C$5:$C$204=T13)+('Official Results'!$E$5:$E$204=T13))))</x:f>
      </x:c>
      <x:c r="W13" s="38" t="str">
        <x:f>IF(T13="","",SUMPRODUCT(('Official Results'!$K$5:$K$204="Yes")*('Official Results'!$C$5:$C$204=T13)*('Official Results'!$G$5:$G$204&gt;'Official Results'!$H$5:$H$204))+SUMPRODUCT(('Official Results'!$K$5:$K$204="Yes")*('Official Results'!$E$5:$E$204=T13)*('Official Results'!$H$5:$H$204&gt;'Official Results'!$G$5:$G$204)))</x:f>
      </x:c>
      <x:c r="X13" s="38" t="str">
        <x:f>IF(T13="","",SUMPRODUCT(('Official Results'!$K$5:$K$204="Yes")*(('Official Results'!$C$5:$C$204=T13)+('Official Results'!$E$5:$E$204=T13))*('Official Results'!$G$5:$G$204='Official Results'!$H$5:$H$204)))</x:f>
      </x:c>
      <x:c r="Y13" s="38" t="str">
        <x:f>IF(T13="","",V13-W13-X13)</x:f>
      </x:c>
      <x:c r="Z13" s="38" t="str">
        <x:f>IF(T13="","",SUMPRODUCT(('Official Results'!$K$5:$K$204="Yes")*('Official Results'!$C$5:$C$204=T13)*'Official Results'!$G$5:$G$204)+SUMPRODUCT(('Official Results'!$K$5:$K$204="Yes")*('Official Results'!$E$5:$E$204=T13)*'Official Results'!$H$5:$H$204))</x:f>
      </x:c>
      <x:c r="AA13" s="38" t="str">
        <x:f>IF(T13="","",SUMPRODUCT(('Official Results'!$K$5:$K$204="Yes")*('Official Results'!$C$5:$C$204=T13)*'Official Results'!$H$5:$H$204)+SUMPRODUCT(('Official Results'!$K$5:$K$204="Yes")*('Official Results'!$E$5:$E$204=T13)*'Official Results'!$G$5:$G$204))</x:f>
      </x:c>
      <x:c r="AB13" s="38" t="str">
        <x:f>IF(T13="","",Z13-AA13)</x:f>
      </x:c>
      <x:c r="AC13" s="38" t="str">
        <x:f>IF(T13="","",W13*Rules!$C$5+X13*Rules!$C$6+Y13*Rules!$C$7)</x:f>
      </x:c>
      <x:c r="AD13" s="38" t="str">
        <x:f>AC13</x:f>
      </x:c>
      <x:c r="AE13" s="38" t="str">
        <x:f>AB13</x:f>
      </x:c>
      <x:c r="AF13" s="38" t="str">
        <x:f>Z13</x:f>
      </x:c>
      <x:c r="AG13" s="38" t="str">
        <x:f>IF(T13="","",IF(Teams!E13&lt;&gt;"Active","Team not active",""))</x:f>
      </x:c>
      <x:c r="AH13" s="38" t="str">
        <x:f>IF(R13="","",COUNTIF($R$5:$R$36,"&lt;"&amp;R13)*100000+S13*1000+COUNTIFS($R$5:$R$36,R13,$S$5:$S$36,S13,$U$5:$U$36,"&lt;="&amp;U13))</x:f>
      </x:c>
    </x:row>
    <x:row r="14" ht="15" hidden="0" customHeight="1">
      <x:c r="A14" s="48" t="str">
        <x:f>IF($Q14="","",INDEX($R$5:$AG$36,MATCH($Q14,$AH$5:$AH$36,0),1))</x:f>
      </x:c>
      <x:c r="B14" s="38" t="str">
        <x:f>IF($Q14="","",INDEX($R$5:$AG$36,MATCH($Q14,$AH$5:$AH$36,0),2))</x:f>
      </x:c>
      <x:c r="C14" s="38" t="str">
        <x:f>IF($Q14="","",INDEX($R$5:$AG$36,MATCH($Q14,$AH$5:$AH$36,0),3))</x:f>
      </x:c>
      <x:c r="D14" s="38" t="str">
        <x:f>IF($Q14="","",INDEX($R$5:$AG$36,MATCH($Q14,$AH$5:$AH$36,0),4))</x:f>
      </x:c>
      <x:c r="E14" s="38" t="str">
        <x:f>IF($Q14="","",INDEX($R$5:$AG$36,MATCH($Q14,$AH$5:$AH$36,0),5))</x:f>
      </x:c>
      <x:c r="F14" s="38" t="str">
        <x:f>IF($Q14="","",INDEX($R$5:$AG$36,MATCH($Q14,$AH$5:$AH$36,0),6))</x:f>
      </x:c>
      <x:c r="G14" s="38" t="str">
        <x:f>IF($Q14="","",INDEX($R$5:$AG$36,MATCH($Q14,$AH$5:$AH$36,0),7))</x:f>
      </x:c>
      <x:c r="H14" s="38" t="str">
        <x:f>IF($Q14="","",INDEX($R$5:$AG$36,MATCH($Q14,$AH$5:$AH$36,0),8))</x:f>
      </x:c>
      <x:c r="I14" s="38" t="str">
        <x:f>IF($Q14="","",INDEX($R$5:$AG$36,MATCH($Q14,$AH$5:$AH$36,0),9))</x:f>
      </x:c>
      <x:c r="J14" s="38" t="str">
        <x:f>IF($Q14="","",INDEX($R$5:$AG$36,MATCH($Q14,$AH$5:$AH$36,0),10))</x:f>
      </x:c>
      <x:c r="K14" s="38" t="str">
        <x:f>IF($Q14="","",INDEX($R$5:$AG$36,MATCH($Q14,$AH$5:$AH$36,0),11))</x:f>
      </x:c>
      <x:c r="L14" s="38" t="str">
        <x:f>IF($Q14="","",INDEX($R$5:$AG$36,MATCH($Q14,$AH$5:$AH$36,0),12))</x:f>
      </x:c>
      <x:c r="M14" s="38" t="str">
        <x:f>IF($Q14="","",INDEX($R$5:$AG$36,MATCH($Q14,$AH$5:$AH$36,0),13))</x:f>
      </x:c>
      <x:c r="N14" s="38" t="str">
        <x:f>IF($Q14="","",INDEX($R$5:$AG$36,MATCH($Q14,$AH$5:$AH$36,0),14))</x:f>
      </x:c>
      <x:c r="O14" s="38" t="str">
        <x:f>IF($Q14="","",INDEX($R$5:$AG$36,MATCH($Q14,$AH$5:$AH$36,0),15))</x:f>
      </x:c>
      <x:c r="P14" s="49" t="str">
        <x:f>IF($Q14="","",INDEX($R$5:$AG$36,MATCH($Q14,$AH$5:$AH$36,0),16))</x:f>
      </x:c>
      <x:c r="Q14" s="38" t="str">
        <x:f>IFERROR(SMALL($AH$5:$AH$36,ROWS($Q$5:Q14)),"")</x:f>
      </x:c>
      <x:c r="R14" s="38" t="str">
        <x:f>IF(Teams!A14="","",Teams!D14)</x:f>
      </x:c>
      <x:c r="S14" s="38" t="str">
        <x:f>IF(T14="","",1+COUNTIFS($R$5:$R$36,R14,$AC$5:$AC$36,"&gt;"&amp;AC14)+COUNTIFS($R$5:$R$36,R14,$AC$5:$AC$36,AC14,$AB$5:$AB$36,"&gt;"&amp;AB14)+COUNTIFS($R$5:$R$36,R14,$AC$5:$AC$36,AC14,$AB$5:$AB$36,AB14,$Z$5:$Z$36,"&gt;"&amp;Z14))</x:f>
      </x:c>
      <x:c r="T14" s="38" t="n">
        <x:f>Teams!A14</x:f>
        <x:v>0</x:v>
      </x:c>
      <x:c r="U14" s="38" t="n">
        <x:f>Teams!C14</x:f>
        <x:v>0</x:v>
      </x:c>
      <x:c r="V14" s="38" t="str">
        <x:f>IF(T14="","",SUMPRODUCT(('Official Results'!$K$5:$K$204="Yes")*(('Official Results'!$C$5:$C$204=T14)+('Official Results'!$E$5:$E$204=T14))))</x:f>
      </x:c>
      <x:c r="W14" s="38" t="str">
        <x:f>IF(T14="","",SUMPRODUCT(('Official Results'!$K$5:$K$204="Yes")*('Official Results'!$C$5:$C$204=T14)*('Official Results'!$G$5:$G$204&gt;'Official Results'!$H$5:$H$204))+SUMPRODUCT(('Official Results'!$K$5:$K$204="Yes")*('Official Results'!$E$5:$E$204=T14)*('Official Results'!$H$5:$H$204&gt;'Official Results'!$G$5:$G$204)))</x:f>
      </x:c>
      <x:c r="X14" s="38" t="str">
        <x:f>IF(T14="","",SUMPRODUCT(('Official Results'!$K$5:$K$204="Yes")*(('Official Results'!$C$5:$C$204=T14)+('Official Results'!$E$5:$E$204=T14))*('Official Results'!$G$5:$G$204='Official Results'!$H$5:$H$204)))</x:f>
      </x:c>
      <x:c r="Y14" s="38" t="str">
        <x:f>IF(T14="","",V14-W14-X14)</x:f>
      </x:c>
      <x:c r="Z14" s="38" t="str">
        <x:f>IF(T14="","",SUMPRODUCT(('Official Results'!$K$5:$K$204="Yes")*('Official Results'!$C$5:$C$204=T14)*'Official Results'!$G$5:$G$204)+SUMPRODUCT(('Official Results'!$K$5:$K$204="Yes")*('Official Results'!$E$5:$E$204=T14)*'Official Results'!$H$5:$H$204))</x:f>
      </x:c>
      <x:c r="AA14" s="38" t="str">
        <x:f>IF(T14="","",SUMPRODUCT(('Official Results'!$K$5:$K$204="Yes")*('Official Results'!$C$5:$C$204=T14)*'Official Results'!$H$5:$H$204)+SUMPRODUCT(('Official Results'!$K$5:$K$204="Yes")*('Official Results'!$E$5:$E$204=T14)*'Official Results'!$G$5:$G$204))</x:f>
      </x:c>
      <x:c r="AB14" s="38" t="str">
        <x:f>IF(T14="","",Z14-AA14)</x:f>
      </x:c>
      <x:c r="AC14" s="38" t="str">
        <x:f>IF(T14="","",W14*Rules!$C$5+X14*Rules!$C$6+Y14*Rules!$C$7)</x:f>
      </x:c>
      <x:c r="AD14" s="38" t="str">
        <x:f>AC14</x:f>
      </x:c>
      <x:c r="AE14" s="38" t="str">
        <x:f>AB14</x:f>
      </x:c>
      <x:c r="AF14" s="38" t="str">
        <x:f>Z14</x:f>
      </x:c>
      <x:c r="AG14" s="38" t="str">
        <x:f>IF(T14="","",IF(Teams!E14&lt;&gt;"Active","Team not active",""))</x:f>
      </x:c>
      <x:c r="AH14" s="38" t="str">
        <x:f>IF(R14="","",COUNTIF($R$5:$R$36,"&lt;"&amp;R14)*100000+S14*1000+COUNTIFS($R$5:$R$36,R14,$S$5:$S$36,S14,$U$5:$U$36,"&lt;="&amp;U14))</x:f>
      </x:c>
    </x:row>
    <x:row r="15" ht="15" hidden="0" customHeight="1">
      <x:c r="A15" s="48" t="str">
        <x:f>IF($Q15="","",INDEX($R$5:$AG$36,MATCH($Q15,$AH$5:$AH$36,0),1))</x:f>
      </x:c>
      <x:c r="B15" s="38" t="str">
        <x:f>IF($Q15="","",INDEX($R$5:$AG$36,MATCH($Q15,$AH$5:$AH$36,0),2))</x:f>
      </x:c>
      <x:c r="C15" s="38" t="str">
        <x:f>IF($Q15="","",INDEX($R$5:$AG$36,MATCH($Q15,$AH$5:$AH$36,0),3))</x:f>
      </x:c>
      <x:c r="D15" s="38" t="str">
        <x:f>IF($Q15="","",INDEX($R$5:$AG$36,MATCH($Q15,$AH$5:$AH$36,0),4))</x:f>
      </x:c>
      <x:c r="E15" s="38" t="str">
        <x:f>IF($Q15="","",INDEX($R$5:$AG$36,MATCH($Q15,$AH$5:$AH$36,0),5))</x:f>
      </x:c>
      <x:c r="F15" s="38" t="str">
        <x:f>IF($Q15="","",INDEX($R$5:$AG$36,MATCH($Q15,$AH$5:$AH$36,0),6))</x:f>
      </x:c>
      <x:c r="G15" s="38" t="str">
        <x:f>IF($Q15="","",INDEX($R$5:$AG$36,MATCH($Q15,$AH$5:$AH$36,0),7))</x:f>
      </x:c>
      <x:c r="H15" s="38" t="str">
        <x:f>IF($Q15="","",INDEX($R$5:$AG$36,MATCH($Q15,$AH$5:$AH$36,0),8))</x:f>
      </x:c>
      <x:c r="I15" s="38" t="str">
        <x:f>IF($Q15="","",INDEX($R$5:$AG$36,MATCH($Q15,$AH$5:$AH$36,0),9))</x:f>
      </x:c>
      <x:c r="J15" s="38" t="str">
        <x:f>IF($Q15="","",INDEX($R$5:$AG$36,MATCH($Q15,$AH$5:$AH$36,0),10))</x:f>
      </x:c>
      <x:c r="K15" s="38" t="str">
        <x:f>IF($Q15="","",INDEX($R$5:$AG$36,MATCH($Q15,$AH$5:$AH$36,0),11))</x:f>
      </x:c>
      <x:c r="L15" s="38" t="str">
        <x:f>IF($Q15="","",INDEX($R$5:$AG$36,MATCH($Q15,$AH$5:$AH$36,0),12))</x:f>
      </x:c>
      <x:c r="M15" s="38" t="str">
        <x:f>IF($Q15="","",INDEX($R$5:$AG$36,MATCH($Q15,$AH$5:$AH$36,0),13))</x:f>
      </x:c>
      <x:c r="N15" s="38" t="str">
        <x:f>IF($Q15="","",INDEX($R$5:$AG$36,MATCH($Q15,$AH$5:$AH$36,0),14))</x:f>
      </x:c>
      <x:c r="O15" s="38" t="str">
        <x:f>IF($Q15="","",INDEX($R$5:$AG$36,MATCH($Q15,$AH$5:$AH$36,0),15))</x:f>
      </x:c>
      <x:c r="P15" s="49" t="str">
        <x:f>IF($Q15="","",INDEX($R$5:$AG$36,MATCH($Q15,$AH$5:$AH$36,0),16))</x:f>
      </x:c>
      <x:c r="Q15" s="38" t="str">
        <x:f>IFERROR(SMALL($AH$5:$AH$36,ROWS($Q$5:Q15)),"")</x:f>
      </x:c>
      <x:c r="R15" s="38" t="str">
        <x:f>IF(Teams!A15="","",Teams!D15)</x:f>
      </x:c>
      <x:c r="S15" s="38" t="str">
        <x:f>IF(T15="","",1+COUNTIFS($R$5:$R$36,R15,$AC$5:$AC$36,"&gt;"&amp;AC15)+COUNTIFS($R$5:$R$36,R15,$AC$5:$AC$36,AC15,$AB$5:$AB$36,"&gt;"&amp;AB15)+COUNTIFS($R$5:$R$36,R15,$AC$5:$AC$36,AC15,$AB$5:$AB$36,AB15,$Z$5:$Z$36,"&gt;"&amp;Z15))</x:f>
      </x:c>
      <x:c r="T15" s="38" t="n">
        <x:f>Teams!A15</x:f>
        <x:v>0</x:v>
      </x:c>
      <x:c r="U15" s="38" t="n">
        <x:f>Teams!C15</x:f>
        <x:v>0</x:v>
      </x:c>
      <x:c r="V15" s="38" t="str">
        <x:f>IF(T15="","",SUMPRODUCT(('Official Results'!$K$5:$K$204="Yes")*(('Official Results'!$C$5:$C$204=T15)+('Official Results'!$E$5:$E$204=T15))))</x:f>
      </x:c>
      <x:c r="W15" s="38" t="str">
        <x:f>IF(T15="","",SUMPRODUCT(('Official Results'!$K$5:$K$204="Yes")*('Official Results'!$C$5:$C$204=T15)*('Official Results'!$G$5:$G$204&gt;'Official Results'!$H$5:$H$204))+SUMPRODUCT(('Official Results'!$K$5:$K$204="Yes")*('Official Results'!$E$5:$E$204=T15)*('Official Results'!$H$5:$H$204&gt;'Official Results'!$G$5:$G$204)))</x:f>
      </x:c>
      <x:c r="X15" s="38" t="str">
        <x:f>IF(T15="","",SUMPRODUCT(('Official Results'!$K$5:$K$204="Yes")*(('Official Results'!$C$5:$C$204=T15)+('Official Results'!$E$5:$E$204=T15))*('Official Results'!$G$5:$G$204='Official Results'!$H$5:$H$204)))</x:f>
      </x:c>
      <x:c r="Y15" s="38" t="str">
        <x:f>IF(T15="","",V15-W15-X15)</x:f>
      </x:c>
      <x:c r="Z15" s="38" t="str">
        <x:f>IF(T15="","",SUMPRODUCT(('Official Results'!$K$5:$K$204="Yes")*('Official Results'!$C$5:$C$204=T15)*'Official Results'!$G$5:$G$204)+SUMPRODUCT(('Official Results'!$K$5:$K$204="Yes")*('Official Results'!$E$5:$E$204=T15)*'Official Results'!$H$5:$H$204))</x:f>
      </x:c>
      <x:c r="AA15" s="38" t="str">
        <x:f>IF(T15="","",SUMPRODUCT(('Official Results'!$K$5:$K$204="Yes")*('Official Results'!$C$5:$C$204=T15)*'Official Results'!$H$5:$H$204)+SUMPRODUCT(('Official Results'!$K$5:$K$204="Yes")*('Official Results'!$E$5:$E$204=T15)*'Official Results'!$G$5:$G$204))</x:f>
      </x:c>
      <x:c r="AB15" s="38" t="str">
        <x:f>IF(T15="","",Z15-AA15)</x:f>
      </x:c>
      <x:c r="AC15" s="38" t="str">
        <x:f>IF(T15="","",W15*Rules!$C$5+X15*Rules!$C$6+Y15*Rules!$C$7)</x:f>
      </x:c>
      <x:c r="AD15" s="38" t="str">
        <x:f>AC15</x:f>
      </x:c>
      <x:c r="AE15" s="38" t="str">
        <x:f>AB15</x:f>
      </x:c>
      <x:c r="AF15" s="38" t="str">
        <x:f>Z15</x:f>
      </x:c>
      <x:c r="AG15" s="38" t="str">
        <x:f>IF(T15="","",IF(Teams!E15&lt;&gt;"Active","Team not active",""))</x:f>
      </x:c>
      <x:c r="AH15" s="38" t="str">
        <x:f>IF(R15="","",COUNTIF($R$5:$R$36,"&lt;"&amp;R15)*100000+S15*1000+COUNTIFS($R$5:$R$36,R15,$S$5:$S$36,S15,$U$5:$U$36,"&lt;="&amp;U15))</x:f>
      </x:c>
    </x:row>
    <x:row r="16" ht="15" hidden="0" customHeight="1">
      <x:c r="A16" s="48" t="str">
        <x:f>IF($Q16="","",INDEX($R$5:$AG$36,MATCH($Q16,$AH$5:$AH$36,0),1))</x:f>
      </x:c>
      <x:c r="B16" s="38" t="str">
        <x:f>IF($Q16="","",INDEX($R$5:$AG$36,MATCH($Q16,$AH$5:$AH$36,0),2))</x:f>
      </x:c>
      <x:c r="C16" s="38" t="str">
        <x:f>IF($Q16="","",INDEX($R$5:$AG$36,MATCH($Q16,$AH$5:$AH$36,0),3))</x:f>
      </x:c>
      <x:c r="D16" s="38" t="str">
        <x:f>IF($Q16="","",INDEX($R$5:$AG$36,MATCH($Q16,$AH$5:$AH$36,0),4))</x:f>
      </x:c>
      <x:c r="E16" s="38" t="str">
        <x:f>IF($Q16="","",INDEX($R$5:$AG$36,MATCH($Q16,$AH$5:$AH$36,0),5))</x:f>
      </x:c>
      <x:c r="F16" s="38" t="str">
        <x:f>IF($Q16="","",INDEX($R$5:$AG$36,MATCH($Q16,$AH$5:$AH$36,0),6))</x:f>
      </x:c>
      <x:c r="G16" s="38" t="str">
        <x:f>IF($Q16="","",INDEX($R$5:$AG$36,MATCH($Q16,$AH$5:$AH$36,0),7))</x:f>
      </x:c>
      <x:c r="H16" s="38" t="str">
        <x:f>IF($Q16="","",INDEX($R$5:$AG$36,MATCH($Q16,$AH$5:$AH$36,0),8))</x:f>
      </x:c>
      <x:c r="I16" s="38" t="str">
        <x:f>IF($Q16="","",INDEX($R$5:$AG$36,MATCH($Q16,$AH$5:$AH$36,0),9))</x:f>
      </x:c>
      <x:c r="J16" s="38" t="str">
        <x:f>IF($Q16="","",INDEX($R$5:$AG$36,MATCH($Q16,$AH$5:$AH$36,0),10))</x:f>
      </x:c>
      <x:c r="K16" s="38" t="str">
        <x:f>IF($Q16="","",INDEX($R$5:$AG$36,MATCH($Q16,$AH$5:$AH$36,0),11))</x:f>
      </x:c>
      <x:c r="L16" s="38" t="str">
        <x:f>IF($Q16="","",INDEX($R$5:$AG$36,MATCH($Q16,$AH$5:$AH$36,0),12))</x:f>
      </x:c>
      <x:c r="M16" s="38" t="str">
        <x:f>IF($Q16="","",INDEX($R$5:$AG$36,MATCH($Q16,$AH$5:$AH$36,0),13))</x:f>
      </x:c>
      <x:c r="N16" s="38" t="str">
        <x:f>IF($Q16="","",INDEX($R$5:$AG$36,MATCH($Q16,$AH$5:$AH$36,0),14))</x:f>
      </x:c>
      <x:c r="O16" s="38" t="str">
        <x:f>IF($Q16="","",INDEX($R$5:$AG$36,MATCH($Q16,$AH$5:$AH$36,0),15))</x:f>
      </x:c>
      <x:c r="P16" s="49" t="str">
        <x:f>IF($Q16="","",INDEX($R$5:$AG$36,MATCH($Q16,$AH$5:$AH$36,0),16))</x:f>
      </x:c>
      <x:c r="Q16" s="38" t="str">
        <x:f>IFERROR(SMALL($AH$5:$AH$36,ROWS($Q$5:Q16)),"")</x:f>
      </x:c>
      <x:c r="R16" s="38" t="str">
        <x:f>IF(Teams!A16="","",Teams!D16)</x:f>
      </x:c>
      <x:c r="S16" s="38" t="str">
        <x:f>IF(T16="","",1+COUNTIFS($R$5:$R$36,R16,$AC$5:$AC$36,"&gt;"&amp;AC16)+COUNTIFS($R$5:$R$36,R16,$AC$5:$AC$36,AC16,$AB$5:$AB$36,"&gt;"&amp;AB16)+COUNTIFS($R$5:$R$36,R16,$AC$5:$AC$36,AC16,$AB$5:$AB$36,AB16,$Z$5:$Z$36,"&gt;"&amp;Z16))</x:f>
      </x:c>
      <x:c r="T16" s="38" t="n">
        <x:f>Teams!A16</x:f>
        <x:v>0</x:v>
      </x:c>
      <x:c r="U16" s="38" t="n">
        <x:f>Teams!C16</x:f>
        <x:v>0</x:v>
      </x:c>
      <x:c r="V16" s="38" t="str">
        <x:f>IF(T16="","",SUMPRODUCT(('Official Results'!$K$5:$K$204="Yes")*(('Official Results'!$C$5:$C$204=T16)+('Official Results'!$E$5:$E$204=T16))))</x:f>
      </x:c>
      <x:c r="W16" s="38" t="str">
        <x:f>IF(T16="","",SUMPRODUCT(('Official Results'!$K$5:$K$204="Yes")*('Official Results'!$C$5:$C$204=T16)*('Official Results'!$G$5:$G$204&gt;'Official Results'!$H$5:$H$204))+SUMPRODUCT(('Official Results'!$K$5:$K$204="Yes")*('Official Results'!$E$5:$E$204=T16)*('Official Results'!$H$5:$H$204&gt;'Official Results'!$G$5:$G$204)))</x:f>
      </x:c>
      <x:c r="X16" s="38" t="str">
        <x:f>IF(T16="","",SUMPRODUCT(('Official Results'!$K$5:$K$204="Yes")*(('Official Results'!$C$5:$C$204=T16)+('Official Results'!$E$5:$E$204=T16))*('Official Results'!$G$5:$G$204='Official Results'!$H$5:$H$204)))</x:f>
      </x:c>
      <x:c r="Y16" s="38" t="str">
        <x:f>IF(T16="","",V16-W16-X16)</x:f>
      </x:c>
      <x:c r="Z16" s="38" t="str">
        <x:f>IF(T16="","",SUMPRODUCT(('Official Results'!$K$5:$K$204="Yes")*('Official Results'!$C$5:$C$204=T16)*'Official Results'!$G$5:$G$204)+SUMPRODUCT(('Official Results'!$K$5:$K$204="Yes")*('Official Results'!$E$5:$E$204=T16)*'Official Results'!$H$5:$H$204))</x:f>
      </x:c>
      <x:c r="AA16" s="38" t="str">
        <x:f>IF(T16="","",SUMPRODUCT(('Official Results'!$K$5:$K$204="Yes")*('Official Results'!$C$5:$C$204=T16)*'Official Results'!$H$5:$H$204)+SUMPRODUCT(('Official Results'!$K$5:$K$204="Yes")*('Official Results'!$E$5:$E$204=T16)*'Official Results'!$G$5:$G$204))</x:f>
      </x:c>
      <x:c r="AB16" s="38" t="str">
        <x:f>IF(T16="","",Z16-AA16)</x:f>
      </x:c>
      <x:c r="AC16" s="38" t="str">
        <x:f>IF(T16="","",W16*Rules!$C$5+X16*Rules!$C$6+Y16*Rules!$C$7)</x:f>
      </x:c>
      <x:c r="AD16" s="38" t="str">
        <x:f>AC16</x:f>
      </x:c>
      <x:c r="AE16" s="38" t="str">
        <x:f>AB16</x:f>
      </x:c>
      <x:c r="AF16" s="38" t="str">
        <x:f>Z16</x:f>
      </x:c>
      <x:c r="AG16" s="38" t="str">
        <x:f>IF(T16="","",IF(Teams!E16&lt;&gt;"Active","Team not active",""))</x:f>
      </x:c>
      <x:c r="AH16" s="38" t="str">
        <x:f>IF(R16="","",COUNTIF($R$5:$R$36,"&lt;"&amp;R16)*100000+S16*1000+COUNTIFS($R$5:$R$36,R16,$S$5:$S$36,S16,$U$5:$U$36,"&lt;="&amp;U16))</x:f>
      </x:c>
    </x:row>
    <x:row r="17" ht="15" hidden="0" customHeight="1">
      <x:c r="A17" s="48" t="str">
        <x:f>IF($Q17="","",INDEX($R$5:$AG$36,MATCH($Q17,$AH$5:$AH$36,0),1))</x:f>
      </x:c>
      <x:c r="B17" s="38" t="str">
        <x:f>IF($Q17="","",INDEX($R$5:$AG$36,MATCH($Q17,$AH$5:$AH$36,0),2))</x:f>
      </x:c>
      <x:c r="C17" s="38" t="str">
        <x:f>IF($Q17="","",INDEX($R$5:$AG$36,MATCH($Q17,$AH$5:$AH$36,0),3))</x:f>
      </x:c>
      <x:c r="D17" s="38" t="str">
        <x:f>IF($Q17="","",INDEX($R$5:$AG$36,MATCH($Q17,$AH$5:$AH$36,0),4))</x:f>
      </x:c>
      <x:c r="E17" s="38" t="str">
        <x:f>IF($Q17="","",INDEX($R$5:$AG$36,MATCH($Q17,$AH$5:$AH$36,0),5))</x:f>
      </x:c>
      <x:c r="F17" s="38" t="str">
        <x:f>IF($Q17="","",INDEX($R$5:$AG$36,MATCH($Q17,$AH$5:$AH$36,0),6))</x:f>
      </x:c>
      <x:c r="G17" s="38" t="str">
        <x:f>IF($Q17="","",INDEX($R$5:$AG$36,MATCH($Q17,$AH$5:$AH$36,0),7))</x:f>
      </x:c>
      <x:c r="H17" s="38" t="str">
        <x:f>IF($Q17="","",INDEX($R$5:$AG$36,MATCH($Q17,$AH$5:$AH$36,0),8))</x:f>
      </x:c>
      <x:c r="I17" s="38" t="str">
        <x:f>IF($Q17="","",INDEX($R$5:$AG$36,MATCH($Q17,$AH$5:$AH$36,0),9))</x:f>
      </x:c>
      <x:c r="J17" s="38" t="str">
        <x:f>IF($Q17="","",INDEX($R$5:$AG$36,MATCH($Q17,$AH$5:$AH$36,0),10))</x:f>
      </x:c>
      <x:c r="K17" s="38" t="str">
        <x:f>IF($Q17="","",INDEX($R$5:$AG$36,MATCH($Q17,$AH$5:$AH$36,0),11))</x:f>
      </x:c>
      <x:c r="L17" s="38" t="str">
        <x:f>IF($Q17="","",INDEX($R$5:$AG$36,MATCH($Q17,$AH$5:$AH$36,0),12))</x:f>
      </x:c>
      <x:c r="M17" s="38" t="str">
        <x:f>IF($Q17="","",INDEX($R$5:$AG$36,MATCH($Q17,$AH$5:$AH$36,0),13))</x:f>
      </x:c>
      <x:c r="N17" s="38" t="str">
        <x:f>IF($Q17="","",INDEX($R$5:$AG$36,MATCH($Q17,$AH$5:$AH$36,0),14))</x:f>
      </x:c>
      <x:c r="O17" s="38" t="str">
        <x:f>IF($Q17="","",INDEX($R$5:$AG$36,MATCH($Q17,$AH$5:$AH$36,0),15))</x:f>
      </x:c>
      <x:c r="P17" s="49" t="str">
        <x:f>IF($Q17="","",INDEX($R$5:$AG$36,MATCH($Q17,$AH$5:$AH$36,0),16))</x:f>
      </x:c>
      <x:c r="Q17" s="38" t="str">
        <x:f>IFERROR(SMALL($AH$5:$AH$36,ROWS($Q$5:Q17)),"")</x:f>
      </x:c>
      <x:c r="R17" s="38" t="str">
        <x:f>IF(Teams!A17="","",Teams!D17)</x:f>
      </x:c>
      <x:c r="S17" s="38" t="str">
        <x:f>IF(T17="","",1+COUNTIFS($R$5:$R$36,R17,$AC$5:$AC$36,"&gt;"&amp;AC17)+COUNTIFS($R$5:$R$36,R17,$AC$5:$AC$36,AC17,$AB$5:$AB$36,"&gt;"&amp;AB17)+COUNTIFS($R$5:$R$36,R17,$AC$5:$AC$36,AC17,$AB$5:$AB$36,AB17,$Z$5:$Z$36,"&gt;"&amp;Z17))</x:f>
      </x:c>
      <x:c r="T17" s="38" t="n">
        <x:f>Teams!A17</x:f>
        <x:v>0</x:v>
      </x:c>
      <x:c r="U17" s="38" t="n">
        <x:f>Teams!C17</x:f>
        <x:v>0</x:v>
      </x:c>
      <x:c r="V17" s="38" t="str">
        <x:f>IF(T17="","",SUMPRODUCT(('Official Results'!$K$5:$K$204="Yes")*(('Official Results'!$C$5:$C$204=T17)+('Official Results'!$E$5:$E$204=T17))))</x:f>
      </x:c>
      <x:c r="W17" s="38" t="str">
        <x:f>IF(T17="","",SUMPRODUCT(('Official Results'!$K$5:$K$204="Yes")*('Official Results'!$C$5:$C$204=T17)*('Official Results'!$G$5:$G$204&gt;'Official Results'!$H$5:$H$204))+SUMPRODUCT(('Official Results'!$K$5:$K$204="Yes")*('Official Results'!$E$5:$E$204=T17)*('Official Results'!$H$5:$H$204&gt;'Official Results'!$G$5:$G$204)))</x:f>
      </x:c>
      <x:c r="X17" s="38" t="str">
        <x:f>IF(T17="","",SUMPRODUCT(('Official Results'!$K$5:$K$204="Yes")*(('Official Results'!$C$5:$C$204=T17)+('Official Results'!$E$5:$E$204=T17))*('Official Results'!$G$5:$G$204='Official Results'!$H$5:$H$204)))</x:f>
      </x:c>
      <x:c r="Y17" s="38" t="str">
        <x:f>IF(T17="","",V17-W17-X17)</x:f>
      </x:c>
      <x:c r="Z17" s="38" t="str">
        <x:f>IF(T17="","",SUMPRODUCT(('Official Results'!$K$5:$K$204="Yes")*('Official Results'!$C$5:$C$204=T17)*'Official Results'!$G$5:$G$204)+SUMPRODUCT(('Official Results'!$K$5:$K$204="Yes")*('Official Results'!$E$5:$E$204=T17)*'Official Results'!$H$5:$H$204))</x:f>
      </x:c>
      <x:c r="AA17" s="38" t="str">
        <x:f>IF(T17="","",SUMPRODUCT(('Official Results'!$K$5:$K$204="Yes")*('Official Results'!$C$5:$C$204=T17)*'Official Results'!$H$5:$H$204)+SUMPRODUCT(('Official Results'!$K$5:$K$204="Yes")*('Official Results'!$E$5:$E$204=T17)*'Official Results'!$G$5:$G$204))</x:f>
      </x:c>
      <x:c r="AB17" s="38" t="str">
        <x:f>IF(T17="","",Z17-AA17)</x:f>
      </x:c>
      <x:c r="AC17" s="38" t="str">
        <x:f>IF(T17="","",W17*Rules!$C$5+X17*Rules!$C$6+Y17*Rules!$C$7)</x:f>
      </x:c>
      <x:c r="AD17" s="38" t="str">
        <x:f>AC17</x:f>
      </x:c>
      <x:c r="AE17" s="38" t="str">
        <x:f>AB17</x:f>
      </x:c>
      <x:c r="AF17" s="38" t="str">
        <x:f>Z17</x:f>
      </x:c>
      <x:c r="AG17" s="38" t="str">
        <x:f>IF(T17="","",IF(Teams!E17&lt;&gt;"Active","Team not active",""))</x:f>
      </x:c>
      <x:c r="AH17" s="38" t="str">
        <x:f>IF(R17="","",COUNTIF($R$5:$R$36,"&lt;"&amp;R17)*100000+S17*1000+COUNTIFS($R$5:$R$36,R17,$S$5:$S$36,S17,$U$5:$U$36,"&lt;="&amp;U17))</x:f>
      </x:c>
    </x:row>
    <x:row r="18" ht="15" hidden="0" customHeight="1">
      <x:c r="A18" s="48" t="str">
        <x:f>IF($Q18="","",INDEX($R$5:$AG$36,MATCH($Q18,$AH$5:$AH$36,0),1))</x:f>
      </x:c>
      <x:c r="B18" s="38" t="str">
        <x:f>IF($Q18="","",INDEX($R$5:$AG$36,MATCH($Q18,$AH$5:$AH$36,0),2))</x:f>
      </x:c>
      <x:c r="C18" s="38" t="str">
        <x:f>IF($Q18="","",INDEX($R$5:$AG$36,MATCH($Q18,$AH$5:$AH$36,0),3))</x:f>
      </x:c>
      <x:c r="D18" s="38" t="str">
        <x:f>IF($Q18="","",INDEX($R$5:$AG$36,MATCH($Q18,$AH$5:$AH$36,0),4))</x:f>
      </x:c>
      <x:c r="E18" s="38" t="str">
        <x:f>IF($Q18="","",INDEX($R$5:$AG$36,MATCH($Q18,$AH$5:$AH$36,0),5))</x:f>
      </x:c>
      <x:c r="F18" s="38" t="str">
        <x:f>IF($Q18="","",INDEX($R$5:$AG$36,MATCH($Q18,$AH$5:$AH$36,0),6))</x:f>
      </x:c>
      <x:c r="G18" s="38" t="str">
        <x:f>IF($Q18="","",INDEX($R$5:$AG$36,MATCH($Q18,$AH$5:$AH$36,0),7))</x:f>
      </x:c>
      <x:c r="H18" s="38" t="str">
        <x:f>IF($Q18="","",INDEX($R$5:$AG$36,MATCH($Q18,$AH$5:$AH$36,0),8))</x:f>
      </x:c>
      <x:c r="I18" s="38" t="str">
        <x:f>IF($Q18="","",INDEX($R$5:$AG$36,MATCH($Q18,$AH$5:$AH$36,0),9))</x:f>
      </x:c>
      <x:c r="J18" s="38" t="str">
        <x:f>IF($Q18="","",INDEX($R$5:$AG$36,MATCH($Q18,$AH$5:$AH$36,0),10))</x:f>
      </x:c>
      <x:c r="K18" s="38" t="str">
        <x:f>IF($Q18="","",INDEX($R$5:$AG$36,MATCH($Q18,$AH$5:$AH$36,0),11))</x:f>
      </x:c>
      <x:c r="L18" s="38" t="str">
        <x:f>IF($Q18="","",INDEX($R$5:$AG$36,MATCH($Q18,$AH$5:$AH$36,0),12))</x:f>
      </x:c>
      <x:c r="M18" s="38" t="str">
        <x:f>IF($Q18="","",INDEX($R$5:$AG$36,MATCH($Q18,$AH$5:$AH$36,0),13))</x:f>
      </x:c>
      <x:c r="N18" s="38" t="str">
        <x:f>IF($Q18="","",INDEX($R$5:$AG$36,MATCH($Q18,$AH$5:$AH$36,0),14))</x:f>
      </x:c>
      <x:c r="O18" s="38" t="str">
        <x:f>IF($Q18="","",INDEX($R$5:$AG$36,MATCH($Q18,$AH$5:$AH$36,0),15))</x:f>
      </x:c>
      <x:c r="P18" s="49" t="str">
        <x:f>IF($Q18="","",INDEX($R$5:$AG$36,MATCH($Q18,$AH$5:$AH$36,0),16))</x:f>
      </x:c>
      <x:c r="Q18" s="38" t="str">
        <x:f>IFERROR(SMALL($AH$5:$AH$36,ROWS($Q$5:Q18)),"")</x:f>
      </x:c>
      <x:c r="R18" s="38" t="str">
        <x:f>IF(Teams!A18="","",Teams!D18)</x:f>
      </x:c>
      <x:c r="S18" s="38" t="str">
        <x:f>IF(T18="","",1+COUNTIFS($R$5:$R$36,R18,$AC$5:$AC$36,"&gt;"&amp;AC18)+COUNTIFS($R$5:$R$36,R18,$AC$5:$AC$36,AC18,$AB$5:$AB$36,"&gt;"&amp;AB18)+COUNTIFS($R$5:$R$36,R18,$AC$5:$AC$36,AC18,$AB$5:$AB$36,AB18,$Z$5:$Z$36,"&gt;"&amp;Z18))</x:f>
      </x:c>
      <x:c r="T18" s="38" t="n">
        <x:f>Teams!A18</x:f>
        <x:v>0</x:v>
      </x:c>
      <x:c r="U18" s="38" t="n">
        <x:f>Teams!C18</x:f>
        <x:v>0</x:v>
      </x:c>
      <x:c r="V18" s="38" t="str">
        <x:f>IF(T18="","",SUMPRODUCT(('Official Results'!$K$5:$K$204="Yes")*(('Official Results'!$C$5:$C$204=T18)+('Official Results'!$E$5:$E$204=T18))))</x:f>
      </x:c>
      <x:c r="W18" s="38" t="str">
        <x:f>IF(T18="","",SUMPRODUCT(('Official Results'!$K$5:$K$204="Yes")*('Official Results'!$C$5:$C$204=T18)*('Official Results'!$G$5:$G$204&gt;'Official Results'!$H$5:$H$204))+SUMPRODUCT(('Official Results'!$K$5:$K$204="Yes")*('Official Results'!$E$5:$E$204=T18)*('Official Results'!$H$5:$H$204&gt;'Official Results'!$G$5:$G$204)))</x:f>
      </x:c>
      <x:c r="X18" s="38" t="str">
        <x:f>IF(T18="","",SUMPRODUCT(('Official Results'!$K$5:$K$204="Yes")*(('Official Results'!$C$5:$C$204=T18)+('Official Results'!$E$5:$E$204=T18))*('Official Results'!$G$5:$G$204='Official Results'!$H$5:$H$204)))</x:f>
      </x:c>
      <x:c r="Y18" s="38" t="str">
        <x:f>IF(T18="","",V18-W18-X18)</x:f>
      </x:c>
      <x:c r="Z18" s="38" t="str">
        <x:f>IF(T18="","",SUMPRODUCT(('Official Results'!$K$5:$K$204="Yes")*('Official Results'!$C$5:$C$204=T18)*'Official Results'!$G$5:$G$204)+SUMPRODUCT(('Official Results'!$K$5:$K$204="Yes")*('Official Results'!$E$5:$E$204=T18)*'Official Results'!$H$5:$H$204))</x:f>
      </x:c>
      <x:c r="AA18" s="38" t="str">
        <x:f>IF(T18="","",SUMPRODUCT(('Official Results'!$K$5:$K$204="Yes")*('Official Results'!$C$5:$C$204=T18)*'Official Results'!$H$5:$H$204)+SUMPRODUCT(('Official Results'!$K$5:$K$204="Yes")*('Official Results'!$E$5:$E$204=T18)*'Official Results'!$G$5:$G$204))</x:f>
      </x:c>
      <x:c r="AB18" s="38" t="str">
        <x:f>IF(T18="","",Z18-AA18)</x:f>
      </x:c>
      <x:c r="AC18" s="38" t="str">
        <x:f>IF(T18="","",W18*Rules!$C$5+X18*Rules!$C$6+Y18*Rules!$C$7)</x:f>
      </x:c>
      <x:c r="AD18" s="38" t="str">
        <x:f>AC18</x:f>
      </x:c>
      <x:c r="AE18" s="38" t="str">
        <x:f>AB18</x:f>
      </x:c>
      <x:c r="AF18" s="38" t="str">
        <x:f>Z18</x:f>
      </x:c>
      <x:c r="AG18" s="38" t="str">
        <x:f>IF(T18="","",IF(Teams!E18&lt;&gt;"Active","Team not active",""))</x:f>
      </x:c>
      <x:c r="AH18" s="38" t="str">
        <x:f>IF(R18="","",COUNTIF($R$5:$R$36,"&lt;"&amp;R18)*100000+S18*1000+COUNTIFS($R$5:$R$36,R18,$S$5:$S$36,S18,$U$5:$U$36,"&lt;="&amp;U18))</x:f>
      </x:c>
    </x:row>
    <x:row r="19" ht="15" hidden="0" customHeight="1">
      <x:c r="A19" s="48" t="str">
        <x:f>IF($Q19="","",INDEX($R$5:$AG$36,MATCH($Q19,$AH$5:$AH$36,0),1))</x:f>
      </x:c>
      <x:c r="B19" s="38" t="str">
        <x:f>IF($Q19="","",INDEX($R$5:$AG$36,MATCH($Q19,$AH$5:$AH$36,0),2))</x:f>
      </x:c>
      <x:c r="C19" s="38" t="str">
        <x:f>IF($Q19="","",INDEX($R$5:$AG$36,MATCH($Q19,$AH$5:$AH$36,0),3))</x:f>
      </x:c>
      <x:c r="D19" s="38" t="str">
        <x:f>IF($Q19="","",INDEX($R$5:$AG$36,MATCH($Q19,$AH$5:$AH$36,0),4))</x:f>
      </x:c>
      <x:c r="E19" s="38" t="str">
        <x:f>IF($Q19="","",INDEX($R$5:$AG$36,MATCH($Q19,$AH$5:$AH$36,0),5))</x:f>
      </x:c>
      <x:c r="F19" s="38" t="str">
        <x:f>IF($Q19="","",INDEX($R$5:$AG$36,MATCH($Q19,$AH$5:$AH$36,0),6))</x:f>
      </x:c>
      <x:c r="G19" s="38" t="str">
        <x:f>IF($Q19="","",INDEX($R$5:$AG$36,MATCH($Q19,$AH$5:$AH$36,0),7))</x:f>
      </x:c>
      <x:c r="H19" s="38" t="str">
        <x:f>IF($Q19="","",INDEX($R$5:$AG$36,MATCH($Q19,$AH$5:$AH$36,0),8))</x:f>
      </x:c>
      <x:c r="I19" s="38" t="str">
        <x:f>IF($Q19="","",INDEX($R$5:$AG$36,MATCH($Q19,$AH$5:$AH$36,0),9))</x:f>
      </x:c>
      <x:c r="J19" s="38" t="str">
        <x:f>IF($Q19="","",INDEX($R$5:$AG$36,MATCH($Q19,$AH$5:$AH$36,0),10))</x:f>
      </x:c>
      <x:c r="K19" s="38" t="str">
        <x:f>IF($Q19="","",INDEX($R$5:$AG$36,MATCH($Q19,$AH$5:$AH$36,0),11))</x:f>
      </x:c>
      <x:c r="L19" s="38" t="str">
        <x:f>IF($Q19="","",INDEX($R$5:$AG$36,MATCH($Q19,$AH$5:$AH$36,0),12))</x:f>
      </x:c>
      <x:c r="M19" s="38" t="str">
        <x:f>IF($Q19="","",INDEX($R$5:$AG$36,MATCH($Q19,$AH$5:$AH$36,0),13))</x:f>
      </x:c>
      <x:c r="N19" s="38" t="str">
        <x:f>IF($Q19="","",INDEX($R$5:$AG$36,MATCH($Q19,$AH$5:$AH$36,0),14))</x:f>
      </x:c>
      <x:c r="O19" s="38" t="str">
        <x:f>IF($Q19="","",INDEX($R$5:$AG$36,MATCH($Q19,$AH$5:$AH$36,0),15))</x:f>
      </x:c>
      <x:c r="P19" s="49" t="str">
        <x:f>IF($Q19="","",INDEX($R$5:$AG$36,MATCH($Q19,$AH$5:$AH$36,0),16))</x:f>
      </x:c>
      <x:c r="Q19" s="38" t="str">
        <x:f>IFERROR(SMALL($AH$5:$AH$36,ROWS($Q$5:Q19)),"")</x:f>
      </x:c>
      <x:c r="R19" s="38" t="str">
        <x:f>IF(Teams!A19="","",Teams!D19)</x:f>
      </x:c>
      <x:c r="S19" s="38" t="str">
        <x:f>IF(T19="","",1+COUNTIFS($R$5:$R$36,R19,$AC$5:$AC$36,"&gt;"&amp;AC19)+COUNTIFS($R$5:$R$36,R19,$AC$5:$AC$36,AC19,$AB$5:$AB$36,"&gt;"&amp;AB19)+COUNTIFS($R$5:$R$36,R19,$AC$5:$AC$36,AC19,$AB$5:$AB$36,AB19,$Z$5:$Z$36,"&gt;"&amp;Z19))</x:f>
      </x:c>
      <x:c r="T19" s="38" t="n">
        <x:f>Teams!A19</x:f>
        <x:v>0</x:v>
      </x:c>
      <x:c r="U19" s="38" t="n">
        <x:f>Teams!C19</x:f>
        <x:v>0</x:v>
      </x:c>
      <x:c r="V19" s="38" t="str">
        <x:f>IF(T19="","",SUMPRODUCT(('Official Results'!$K$5:$K$204="Yes")*(('Official Results'!$C$5:$C$204=T19)+('Official Results'!$E$5:$E$204=T19))))</x:f>
      </x:c>
      <x:c r="W19" s="38" t="str">
        <x:f>IF(T19="","",SUMPRODUCT(('Official Results'!$K$5:$K$204="Yes")*('Official Results'!$C$5:$C$204=T19)*('Official Results'!$G$5:$G$204&gt;'Official Results'!$H$5:$H$204))+SUMPRODUCT(('Official Results'!$K$5:$K$204="Yes")*('Official Results'!$E$5:$E$204=T19)*('Official Results'!$H$5:$H$204&gt;'Official Results'!$G$5:$G$204)))</x:f>
      </x:c>
      <x:c r="X19" s="38" t="str">
        <x:f>IF(T19="","",SUMPRODUCT(('Official Results'!$K$5:$K$204="Yes")*(('Official Results'!$C$5:$C$204=T19)+('Official Results'!$E$5:$E$204=T19))*('Official Results'!$G$5:$G$204='Official Results'!$H$5:$H$204)))</x:f>
      </x:c>
      <x:c r="Y19" s="38" t="str">
        <x:f>IF(T19="","",V19-W19-X19)</x:f>
      </x:c>
      <x:c r="Z19" s="38" t="str">
        <x:f>IF(T19="","",SUMPRODUCT(('Official Results'!$K$5:$K$204="Yes")*('Official Results'!$C$5:$C$204=T19)*'Official Results'!$G$5:$G$204)+SUMPRODUCT(('Official Results'!$K$5:$K$204="Yes")*('Official Results'!$E$5:$E$204=T19)*'Official Results'!$H$5:$H$204))</x:f>
      </x:c>
      <x:c r="AA19" s="38" t="str">
        <x:f>IF(T19="","",SUMPRODUCT(('Official Results'!$K$5:$K$204="Yes")*('Official Results'!$C$5:$C$204=T19)*'Official Results'!$H$5:$H$204)+SUMPRODUCT(('Official Results'!$K$5:$K$204="Yes")*('Official Results'!$E$5:$E$204=T19)*'Official Results'!$G$5:$G$204))</x:f>
      </x:c>
      <x:c r="AB19" s="38" t="str">
        <x:f>IF(T19="","",Z19-AA19)</x:f>
      </x:c>
      <x:c r="AC19" s="38" t="str">
        <x:f>IF(T19="","",W19*Rules!$C$5+X19*Rules!$C$6+Y19*Rules!$C$7)</x:f>
      </x:c>
      <x:c r="AD19" s="38" t="str">
        <x:f>AC19</x:f>
      </x:c>
      <x:c r="AE19" s="38" t="str">
        <x:f>AB19</x:f>
      </x:c>
      <x:c r="AF19" s="38" t="str">
        <x:f>Z19</x:f>
      </x:c>
      <x:c r="AG19" s="38" t="str">
        <x:f>IF(T19="","",IF(Teams!E19&lt;&gt;"Active","Team not active",""))</x:f>
      </x:c>
      <x:c r="AH19" s="38" t="str">
        <x:f>IF(R19="","",COUNTIF($R$5:$R$36,"&lt;"&amp;R19)*100000+S19*1000+COUNTIFS($R$5:$R$36,R19,$S$5:$S$36,S19,$U$5:$U$36,"&lt;="&amp;U19))</x:f>
      </x:c>
    </x:row>
    <x:row r="20" ht="15" hidden="0" customHeight="1">
      <x:c r="A20" s="48" t="str">
        <x:f>IF($Q20="","",INDEX($R$5:$AG$36,MATCH($Q20,$AH$5:$AH$36,0),1))</x:f>
      </x:c>
      <x:c r="B20" s="38" t="str">
        <x:f>IF($Q20="","",INDEX($R$5:$AG$36,MATCH($Q20,$AH$5:$AH$36,0),2))</x:f>
      </x:c>
      <x:c r="C20" s="38" t="str">
        <x:f>IF($Q20="","",INDEX($R$5:$AG$36,MATCH($Q20,$AH$5:$AH$36,0),3))</x:f>
      </x:c>
      <x:c r="D20" s="38" t="str">
        <x:f>IF($Q20="","",INDEX($R$5:$AG$36,MATCH($Q20,$AH$5:$AH$36,0),4))</x:f>
      </x:c>
      <x:c r="E20" s="38" t="str">
        <x:f>IF($Q20="","",INDEX($R$5:$AG$36,MATCH($Q20,$AH$5:$AH$36,0),5))</x:f>
      </x:c>
      <x:c r="F20" s="38" t="str">
        <x:f>IF($Q20="","",INDEX($R$5:$AG$36,MATCH($Q20,$AH$5:$AH$36,0),6))</x:f>
      </x:c>
      <x:c r="G20" s="38" t="str">
        <x:f>IF($Q20="","",INDEX($R$5:$AG$36,MATCH($Q20,$AH$5:$AH$36,0),7))</x:f>
      </x:c>
      <x:c r="H20" s="38" t="str">
        <x:f>IF($Q20="","",INDEX($R$5:$AG$36,MATCH($Q20,$AH$5:$AH$36,0),8))</x:f>
      </x:c>
      <x:c r="I20" s="38" t="str">
        <x:f>IF($Q20="","",INDEX($R$5:$AG$36,MATCH($Q20,$AH$5:$AH$36,0),9))</x:f>
      </x:c>
      <x:c r="J20" s="38" t="str">
        <x:f>IF($Q20="","",INDEX($R$5:$AG$36,MATCH($Q20,$AH$5:$AH$36,0),10))</x:f>
      </x:c>
      <x:c r="K20" s="38" t="str">
        <x:f>IF($Q20="","",INDEX($R$5:$AG$36,MATCH($Q20,$AH$5:$AH$36,0),11))</x:f>
      </x:c>
      <x:c r="L20" s="38" t="str">
        <x:f>IF($Q20="","",INDEX($R$5:$AG$36,MATCH($Q20,$AH$5:$AH$36,0),12))</x:f>
      </x:c>
      <x:c r="M20" s="38" t="str">
        <x:f>IF($Q20="","",INDEX($R$5:$AG$36,MATCH($Q20,$AH$5:$AH$36,0),13))</x:f>
      </x:c>
      <x:c r="N20" s="38" t="str">
        <x:f>IF($Q20="","",INDEX($R$5:$AG$36,MATCH($Q20,$AH$5:$AH$36,0),14))</x:f>
      </x:c>
      <x:c r="O20" s="38" t="str">
        <x:f>IF($Q20="","",INDEX($R$5:$AG$36,MATCH($Q20,$AH$5:$AH$36,0),15))</x:f>
      </x:c>
      <x:c r="P20" s="49" t="str">
        <x:f>IF($Q20="","",INDEX($R$5:$AG$36,MATCH($Q20,$AH$5:$AH$36,0),16))</x:f>
      </x:c>
      <x:c r="Q20" s="38" t="str">
        <x:f>IFERROR(SMALL($AH$5:$AH$36,ROWS($Q$5:Q20)),"")</x:f>
      </x:c>
      <x:c r="R20" s="38" t="str">
        <x:f>IF(Teams!A20="","",Teams!D20)</x:f>
      </x:c>
      <x:c r="S20" s="38" t="str">
        <x:f>IF(T20="","",1+COUNTIFS($R$5:$R$36,R20,$AC$5:$AC$36,"&gt;"&amp;AC20)+COUNTIFS($R$5:$R$36,R20,$AC$5:$AC$36,AC20,$AB$5:$AB$36,"&gt;"&amp;AB20)+COUNTIFS($R$5:$R$36,R20,$AC$5:$AC$36,AC20,$AB$5:$AB$36,AB20,$Z$5:$Z$36,"&gt;"&amp;Z20))</x:f>
      </x:c>
      <x:c r="T20" s="38" t="n">
        <x:f>Teams!A20</x:f>
        <x:v>0</x:v>
      </x:c>
      <x:c r="U20" s="38" t="n">
        <x:f>Teams!C20</x:f>
        <x:v>0</x:v>
      </x:c>
      <x:c r="V20" s="38" t="str">
        <x:f>IF(T20="","",SUMPRODUCT(('Official Results'!$K$5:$K$204="Yes")*(('Official Results'!$C$5:$C$204=T20)+('Official Results'!$E$5:$E$204=T20))))</x:f>
      </x:c>
      <x:c r="W20" s="38" t="str">
        <x:f>IF(T20="","",SUMPRODUCT(('Official Results'!$K$5:$K$204="Yes")*('Official Results'!$C$5:$C$204=T20)*('Official Results'!$G$5:$G$204&gt;'Official Results'!$H$5:$H$204))+SUMPRODUCT(('Official Results'!$K$5:$K$204="Yes")*('Official Results'!$E$5:$E$204=T20)*('Official Results'!$H$5:$H$204&gt;'Official Results'!$G$5:$G$204)))</x:f>
      </x:c>
      <x:c r="X20" s="38" t="str">
        <x:f>IF(T20="","",SUMPRODUCT(('Official Results'!$K$5:$K$204="Yes")*(('Official Results'!$C$5:$C$204=T20)+('Official Results'!$E$5:$E$204=T20))*('Official Results'!$G$5:$G$204='Official Results'!$H$5:$H$204)))</x:f>
      </x:c>
      <x:c r="Y20" s="38" t="str">
        <x:f>IF(T20="","",V20-W20-X20)</x:f>
      </x:c>
      <x:c r="Z20" s="38" t="str">
        <x:f>IF(T20="","",SUMPRODUCT(('Official Results'!$K$5:$K$204="Yes")*('Official Results'!$C$5:$C$204=T20)*'Official Results'!$G$5:$G$204)+SUMPRODUCT(('Official Results'!$K$5:$K$204="Yes")*('Official Results'!$E$5:$E$204=T20)*'Official Results'!$H$5:$H$204))</x:f>
      </x:c>
      <x:c r="AA20" s="38" t="str">
        <x:f>IF(T20="","",SUMPRODUCT(('Official Results'!$K$5:$K$204="Yes")*('Official Results'!$C$5:$C$204=T20)*'Official Results'!$H$5:$H$204)+SUMPRODUCT(('Official Results'!$K$5:$K$204="Yes")*('Official Results'!$E$5:$E$204=T20)*'Official Results'!$G$5:$G$204))</x:f>
      </x:c>
      <x:c r="AB20" s="38" t="str">
        <x:f>IF(T20="","",Z20-AA20)</x:f>
      </x:c>
      <x:c r="AC20" s="38" t="str">
        <x:f>IF(T20="","",W20*Rules!$C$5+X20*Rules!$C$6+Y20*Rules!$C$7)</x:f>
      </x:c>
      <x:c r="AD20" s="38" t="str">
        <x:f>AC20</x:f>
      </x:c>
      <x:c r="AE20" s="38" t="str">
        <x:f>AB20</x:f>
      </x:c>
      <x:c r="AF20" s="38" t="str">
        <x:f>Z20</x:f>
      </x:c>
      <x:c r="AG20" s="38" t="str">
        <x:f>IF(T20="","",IF(Teams!E20&lt;&gt;"Active","Team not active",""))</x:f>
      </x:c>
      <x:c r="AH20" s="38" t="str">
        <x:f>IF(R20="","",COUNTIF($R$5:$R$36,"&lt;"&amp;R20)*100000+S20*1000+COUNTIFS($R$5:$R$36,R20,$S$5:$S$36,S20,$U$5:$U$36,"&lt;="&amp;U20))</x:f>
      </x:c>
    </x:row>
    <x:row r="21" ht="15" hidden="0" customHeight="1">
      <x:c r="A21" s="48" t="str">
        <x:f>IF($Q21="","",INDEX($R$5:$AG$36,MATCH($Q21,$AH$5:$AH$36,0),1))</x:f>
      </x:c>
      <x:c r="B21" s="38" t="str">
        <x:f>IF($Q21="","",INDEX($R$5:$AG$36,MATCH($Q21,$AH$5:$AH$36,0),2))</x:f>
      </x:c>
      <x:c r="C21" s="38" t="str">
        <x:f>IF($Q21="","",INDEX($R$5:$AG$36,MATCH($Q21,$AH$5:$AH$36,0),3))</x:f>
      </x:c>
      <x:c r="D21" s="38" t="str">
        <x:f>IF($Q21="","",INDEX($R$5:$AG$36,MATCH($Q21,$AH$5:$AH$36,0),4))</x:f>
      </x:c>
      <x:c r="E21" s="38" t="str">
        <x:f>IF($Q21="","",INDEX($R$5:$AG$36,MATCH($Q21,$AH$5:$AH$36,0),5))</x:f>
      </x:c>
      <x:c r="F21" s="38" t="str">
        <x:f>IF($Q21="","",INDEX($R$5:$AG$36,MATCH($Q21,$AH$5:$AH$36,0),6))</x:f>
      </x:c>
      <x:c r="G21" s="38" t="str">
        <x:f>IF($Q21="","",INDEX($R$5:$AG$36,MATCH($Q21,$AH$5:$AH$36,0),7))</x:f>
      </x:c>
      <x:c r="H21" s="38" t="str">
        <x:f>IF($Q21="","",INDEX($R$5:$AG$36,MATCH($Q21,$AH$5:$AH$36,0),8))</x:f>
      </x:c>
      <x:c r="I21" s="38" t="str">
        <x:f>IF($Q21="","",INDEX($R$5:$AG$36,MATCH($Q21,$AH$5:$AH$36,0),9))</x:f>
      </x:c>
      <x:c r="J21" s="38" t="str">
        <x:f>IF($Q21="","",INDEX($R$5:$AG$36,MATCH($Q21,$AH$5:$AH$36,0),10))</x:f>
      </x:c>
      <x:c r="K21" s="38" t="str">
        <x:f>IF($Q21="","",INDEX($R$5:$AG$36,MATCH($Q21,$AH$5:$AH$36,0),11))</x:f>
      </x:c>
      <x:c r="L21" s="38" t="str">
        <x:f>IF($Q21="","",INDEX($R$5:$AG$36,MATCH($Q21,$AH$5:$AH$36,0),12))</x:f>
      </x:c>
      <x:c r="M21" s="38" t="str">
        <x:f>IF($Q21="","",INDEX($R$5:$AG$36,MATCH($Q21,$AH$5:$AH$36,0),13))</x:f>
      </x:c>
      <x:c r="N21" s="38" t="str">
        <x:f>IF($Q21="","",INDEX($R$5:$AG$36,MATCH($Q21,$AH$5:$AH$36,0),14))</x:f>
      </x:c>
      <x:c r="O21" s="38" t="str">
        <x:f>IF($Q21="","",INDEX($R$5:$AG$36,MATCH($Q21,$AH$5:$AH$36,0),15))</x:f>
      </x:c>
      <x:c r="P21" s="49" t="str">
        <x:f>IF($Q21="","",INDEX($R$5:$AG$36,MATCH($Q21,$AH$5:$AH$36,0),16))</x:f>
      </x:c>
      <x:c r="Q21" s="38" t="str">
        <x:f>IFERROR(SMALL($AH$5:$AH$36,ROWS($Q$5:Q21)),"")</x:f>
      </x:c>
      <x:c r="R21" s="38" t="str">
        <x:f>IF(Teams!A21="","",Teams!D21)</x:f>
      </x:c>
      <x:c r="S21" s="38" t="str">
        <x:f>IF(T21="","",1+COUNTIFS($R$5:$R$36,R21,$AC$5:$AC$36,"&gt;"&amp;AC21)+COUNTIFS($R$5:$R$36,R21,$AC$5:$AC$36,AC21,$AB$5:$AB$36,"&gt;"&amp;AB21)+COUNTIFS($R$5:$R$36,R21,$AC$5:$AC$36,AC21,$AB$5:$AB$36,AB21,$Z$5:$Z$36,"&gt;"&amp;Z21))</x:f>
      </x:c>
      <x:c r="T21" s="38" t="n">
        <x:f>Teams!A21</x:f>
        <x:v>0</x:v>
      </x:c>
      <x:c r="U21" s="38" t="n">
        <x:f>Teams!C21</x:f>
        <x:v>0</x:v>
      </x:c>
      <x:c r="V21" s="38" t="str">
        <x:f>IF(T21="","",SUMPRODUCT(('Official Results'!$K$5:$K$204="Yes")*(('Official Results'!$C$5:$C$204=T21)+('Official Results'!$E$5:$E$204=T21))))</x:f>
      </x:c>
      <x:c r="W21" s="38" t="str">
        <x:f>IF(T21="","",SUMPRODUCT(('Official Results'!$K$5:$K$204="Yes")*('Official Results'!$C$5:$C$204=T21)*('Official Results'!$G$5:$G$204&gt;'Official Results'!$H$5:$H$204))+SUMPRODUCT(('Official Results'!$K$5:$K$204="Yes")*('Official Results'!$E$5:$E$204=T21)*('Official Results'!$H$5:$H$204&gt;'Official Results'!$G$5:$G$204)))</x:f>
      </x:c>
      <x:c r="X21" s="38" t="str">
        <x:f>IF(T21="","",SUMPRODUCT(('Official Results'!$K$5:$K$204="Yes")*(('Official Results'!$C$5:$C$204=T21)+('Official Results'!$E$5:$E$204=T21))*('Official Results'!$G$5:$G$204='Official Results'!$H$5:$H$204)))</x:f>
      </x:c>
      <x:c r="Y21" s="38" t="str">
        <x:f>IF(T21="","",V21-W21-X21)</x:f>
      </x:c>
      <x:c r="Z21" s="38" t="str">
        <x:f>IF(T21="","",SUMPRODUCT(('Official Results'!$K$5:$K$204="Yes")*('Official Results'!$C$5:$C$204=T21)*'Official Results'!$G$5:$G$204)+SUMPRODUCT(('Official Results'!$K$5:$K$204="Yes")*('Official Results'!$E$5:$E$204=T21)*'Official Results'!$H$5:$H$204))</x:f>
      </x:c>
      <x:c r="AA21" s="38" t="str">
        <x:f>IF(T21="","",SUMPRODUCT(('Official Results'!$K$5:$K$204="Yes")*('Official Results'!$C$5:$C$204=T21)*'Official Results'!$H$5:$H$204)+SUMPRODUCT(('Official Results'!$K$5:$K$204="Yes")*('Official Results'!$E$5:$E$204=T21)*'Official Results'!$G$5:$G$204))</x:f>
      </x:c>
      <x:c r="AB21" s="38" t="str">
        <x:f>IF(T21="","",Z21-AA21)</x:f>
      </x:c>
      <x:c r="AC21" s="38" t="str">
        <x:f>IF(T21="","",W21*Rules!$C$5+X21*Rules!$C$6+Y21*Rules!$C$7)</x:f>
      </x:c>
      <x:c r="AD21" s="38" t="str">
        <x:f>AC21</x:f>
      </x:c>
      <x:c r="AE21" s="38" t="str">
        <x:f>AB21</x:f>
      </x:c>
      <x:c r="AF21" s="38" t="str">
        <x:f>Z21</x:f>
      </x:c>
      <x:c r="AG21" s="38" t="str">
        <x:f>IF(T21="","",IF(Teams!E21&lt;&gt;"Active","Team not active",""))</x:f>
      </x:c>
      <x:c r="AH21" s="38" t="str">
        <x:f>IF(R21="","",COUNTIF($R$5:$R$36,"&lt;"&amp;R21)*100000+S21*1000+COUNTIFS($R$5:$R$36,R21,$S$5:$S$36,S21,$U$5:$U$36,"&lt;="&amp;U21))</x:f>
      </x:c>
    </x:row>
    <x:row r="22" ht="15" hidden="0" customHeight="1">
      <x:c r="A22" s="48" t="str">
        <x:f>IF($Q22="","",INDEX($R$5:$AG$36,MATCH($Q22,$AH$5:$AH$36,0),1))</x:f>
      </x:c>
      <x:c r="B22" s="38" t="str">
        <x:f>IF($Q22="","",INDEX($R$5:$AG$36,MATCH($Q22,$AH$5:$AH$36,0),2))</x:f>
      </x:c>
      <x:c r="C22" s="38" t="str">
        <x:f>IF($Q22="","",INDEX($R$5:$AG$36,MATCH($Q22,$AH$5:$AH$36,0),3))</x:f>
      </x:c>
      <x:c r="D22" s="38" t="str">
        <x:f>IF($Q22="","",INDEX($R$5:$AG$36,MATCH($Q22,$AH$5:$AH$36,0),4))</x:f>
      </x:c>
      <x:c r="E22" s="38" t="str">
        <x:f>IF($Q22="","",INDEX($R$5:$AG$36,MATCH($Q22,$AH$5:$AH$36,0),5))</x:f>
      </x:c>
      <x:c r="F22" s="38" t="str">
        <x:f>IF($Q22="","",INDEX($R$5:$AG$36,MATCH($Q22,$AH$5:$AH$36,0),6))</x:f>
      </x:c>
      <x:c r="G22" s="38" t="str">
        <x:f>IF($Q22="","",INDEX($R$5:$AG$36,MATCH($Q22,$AH$5:$AH$36,0),7))</x:f>
      </x:c>
      <x:c r="H22" s="38" t="str">
        <x:f>IF($Q22="","",INDEX($R$5:$AG$36,MATCH($Q22,$AH$5:$AH$36,0),8))</x:f>
      </x:c>
      <x:c r="I22" s="38" t="str">
        <x:f>IF($Q22="","",INDEX($R$5:$AG$36,MATCH($Q22,$AH$5:$AH$36,0),9))</x:f>
      </x:c>
      <x:c r="J22" s="38" t="str">
        <x:f>IF($Q22="","",INDEX($R$5:$AG$36,MATCH($Q22,$AH$5:$AH$36,0),10))</x:f>
      </x:c>
      <x:c r="K22" s="38" t="str">
        <x:f>IF($Q22="","",INDEX($R$5:$AG$36,MATCH($Q22,$AH$5:$AH$36,0),11))</x:f>
      </x:c>
      <x:c r="L22" s="38" t="str">
        <x:f>IF($Q22="","",INDEX($R$5:$AG$36,MATCH($Q22,$AH$5:$AH$36,0),12))</x:f>
      </x:c>
      <x:c r="M22" s="38" t="str">
        <x:f>IF($Q22="","",INDEX($R$5:$AG$36,MATCH($Q22,$AH$5:$AH$36,0),13))</x:f>
      </x:c>
      <x:c r="N22" s="38" t="str">
        <x:f>IF($Q22="","",INDEX($R$5:$AG$36,MATCH($Q22,$AH$5:$AH$36,0),14))</x:f>
      </x:c>
      <x:c r="O22" s="38" t="str">
        <x:f>IF($Q22="","",INDEX($R$5:$AG$36,MATCH($Q22,$AH$5:$AH$36,0),15))</x:f>
      </x:c>
      <x:c r="P22" s="49" t="str">
        <x:f>IF($Q22="","",INDEX($R$5:$AG$36,MATCH($Q22,$AH$5:$AH$36,0),16))</x:f>
      </x:c>
      <x:c r="Q22" s="38" t="str">
        <x:f>IFERROR(SMALL($AH$5:$AH$36,ROWS($Q$5:Q22)),"")</x:f>
      </x:c>
      <x:c r="R22" s="38" t="str">
        <x:f>IF(Teams!A22="","",Teams!D22)</x:f>
      </x:c>
      <x:c r="S22" s="38" t="str">
        <x:f>IF(T22="","",1+COUNTIFS($R$5:$R$36,R22,$AC$5:$AC$36,"&gt;"&amp;AC22)+COUNTIFS($R$5:$R$36,R22,$AC$5:$AC$36,AC22,$AB$5:$AB$36,"&gt;"&amp;AB22)+COUNTIFS($R$5:$R$36,R22,$AC$5:$AC$36,AC22,$AB$5:$AB$36,AB22,$Z$5:$Z$36,"&gt;"&amp;Z22))</x:f>
      </x:c>
      <x:c r="T22" s="38" t="n">
        <x:f>Teams!A22</x:f>
        <x:v>0</x:v>
      </x:c>
      <x:c r="U22" s="38" t="n">
        <x:f>Teams!C22</x:f>
        <x:v>0</x:v>
      </x:c>
      <x:c r="V22" s="38" t="str">
        <x:f>IF(T22="","",SUMPRODUCT(('Official Results'!$K$5:$K$204="Yes")*(('Official Results'!$C$5:$C$204=T22)+('Official Results'!$E$5:$E$204=T22))))</x:f>
      </x:c>
      <x:c r="W22" s="38" t="str">
        <x:f>IF(T22="","",SUMPRODUCT(('Official Results'!$K$5:$K$204="Yes")*('Official Results'!$C$5:$C$204=T22)*('Official Results'!$G$5:$G$204&gt;'Official Results'!$H$5:$H$204))+SUMPRODUCT(('Official Results'!$K$5:$K$204="Yes")*('Official Results'!$E$5:$E$204=T22)*('Official Results'!$H$5:$H$204&gt;'Official Results'!$G$5:$G$204)))</x:f>
      </x:c>
      <x:c r="X22" s="38" t="str">
        <x:f>IF(T22="","",SUMPRODUCT(('Official Results'!$K$5:$K$204="Yes")*(('Official Results'!$C$5:$C$204=T22)+('Official Results'!$E$5:$E$204=T22))*('Official Results'!$G$5:$G$204='Official Results'!$H$5:$H$204)))</x:f>
      </x:c>
      <x:c r="Y22" s="38" t="str">
        <x:f>IF(T22="","",V22-W22-X22)</x:f>
      </x:c>
      <x:c r="Z22" s="38" t="str">
        <x:f>IF(T22="","",SUMPRODUCT(('Official Results'!$K$5:$K$204="Yes")*('Official Results'!$C$5:$C$204=T22)*'Official Results'!$G$5:$G$204)+SUMPRODUCT(('Official Results'!$K$5:$K$204="Yes")*('Official Results'!$E$5:$E$204=T22)*'Official Results'!$H$5:$H$204))</x:f>
      </x:c>
      <x:c r="AA22" s="38" t="str">
        <x:f>IF(T22="","",SUMPRODUCT(('Official Results'!$K$5:$K$204="Yes")*('Official Results'!$C$5:$C$204=T22)*'Official Results'!$H$5:$H$204)+SUMPRODUCT(('Official Results'!$K$5:$K$204="Yes")*('Official Results'!$E$5:$E$204=T22)*'Official Results'!$G$5:$G$204))</x:f>
      </x:c>
      <x:c r="AB22" s="38" t="str">
        <x:f>IF(T22="","",Z22-AA22)</x:f>
      </x:c>
      <x:c r="AC22" s="38" t="str">
        <x:f>IF(T22="","",W22*Rules!$C$5+X22*Rules!$C$6+Y22*Rules!$C$7)</x:f>
      </x:c>
      <x:c r="AD22" s="38" t="str">
        <x:f>AC22</x:f>
      </x:c>
      <x:c r="AE22" s="38" t="str">
        <x:f>AB22</x:f>
      </x:c>
      <x:c r="AF22" s="38" t="str">
        <x:f>Z22</x:f>
      </x:c>
      <x:c r="AG22" s="38" t="str">
        <x:f>IF(T22="","",IF(Teams!E22&lt;&gt;"Active","Team not active",""))</x:f>
      </x:c>
      <x:c r="AH22" s="38" t="str">
        <x:f>IF(R22="","",COUNTIF($R$5:$R$36,"&lt;"&amp;R22)*100000+S22*1000+COUNTIFS($R$5:$R$36,R22,$S$5:$S$36,S22,$U$5:$U$36,"&lt;="&amp;U22))</x:f>
      </x:c>
    </x:row>
    <x:row r="23" ht="15" hidden="0" customHeight="1">
      <x:c r="A23" s="48" t="str">
        <x:f>IF($Q23="","",INDEX($R$5:$AG$36,MATCH($Q23,$AH$5:$AH$36,0),1))</x:f>
      </x:c>
      <x:c r="B23" s="38" t="str">
        <x:f>IF($Q23="","",INDEX($R$5:$AG$36,MATCH($Q23,$AH$5:$AH$36,0),2))</x:f>
      </x:c>
      <x:c r="C23" s="38" t="str">
        <x:f>IF($Q23="","",INDEX($R$5:$AG$36,MATCH($Q23,$AH$5:$AH$36,0),3))</x:f>
      </x:c>
      <x:c r="D23" s="38" t="str">
        <x:f>IF($Q23="","",INDEX($R$5:$AG$36,MATCH($Q23,$AH$5:$AH$36,0),4))</x:f>
      </x:c>
      <x:c r="E23" s="38" t="str">
        <x:f>IF($Q23="","",INDEX($R$5:$AG$36,MATCH($Q23,$AH$5:$AH$36,0),5))</x:f>
      </x:c>
      <x:c r="F23" s="38" t="str">
        <x:f>IF($Q23="","",INDEX($R$5:$AG$36,MATCH($Q23,$AH$5:$AH$36,0),6))</x:f>
      </x:c>
      <x:c r="G23" s="38" t="str">
        <x:f>IF($Q23="","",INDEX($R$5:$AG$36,MATCH($Q23,$AH$5:$AH$36,0),7))</x:f>
      </x:c>
      <x:c r="H23" s="38" t="str">
        <x:f>IF($Q23="","",INDEX($R$5:$AG$36,MATCH($Q23,$AH$5:$AH$36,0),8))</x:f>
      </x:c>
      <x:c r="I23" s="38" t="str">
        <x:f>IF($Q23="","",INDEX($R$5:$AG$36,MATCH($Q23,$AH$5:$AH$36,0),9))</x:f>
      </x:c>
      <x:c r="J23" s="38" t="str">
        <x:f>IF($Q23="","",INDEX($R$5:$AG$36,MATCH($Q23,$AH$5:$AH$36,0),10))</x:f>
      </x:c>
      <x:c r="K23" s="38" t="str">
        <x:f>IF($Q23="","",INDEX($R$5:$AG$36,MATCH($Q23,$AH$5:$AH$36,0),11))</x:f>
      </x:c>
      <x:c r="L23" s="38" t="str">
        <x:f>IF($Q23="","",INDEX($R$5:$AG$36,MATCH($Q23,$AH$5:$AH$36,0),12))</x:f>
      </x:c>
      <x:c r="M23" s="38" t="str">
        <x:f>IF($Q23="","",INDEX($R$5:$AG$36,MATCH($Q23,$AH$5:$AH$36,0),13))</x:f>
      </x:c>
      <x:c r="N23" s="38" t="str">
        <x:f>IF($Q23="","",INDEX($R$5:$AG$36,MATCH($Q23,$AH$5:$AH$36,0),14))</x:f>
      </x:c>
      <x:c r="O23" s="38" t="str">
        <x:f>IF($Q23="","",INDEX($R$5:$AG$36,MATCH($Q23,$AH$5:$AH$36,0),15))</x:f>
      </x:c>
      <x:c r="P23" s="49" t="str">
        <x:f>IF($Q23="","",INDEX($R$5:$AG$36,MATCH($Q23,$AH$5:$AH$36,0),16))</x:f>
      </x:c>
      <x:c r="Q23" s="38" t="str">
        <x:f>IFERROR(SMALL($AH$5:$AH$36,ROWS($Q$5:Q23)),"")</x:f>
      </x:c>
      <x:c r="R23" s="38" t="str">
        <x:f>IF(Teams!A23="","",Teams!D23)</x:f>
      </x:c>
      <x:c r="S23" s="38" t="str">
        <x:f>IF(T23="","",1+COUNTIFS($R$5:$R$36,R23,$AC$5:$AC$36,"&gt;"&amp;AC23)+COUNTIFS($R$5:$R$36,R23,$AC$5:$AC$36,AC23,$AB$5:$AB$36,"&gt;"&amp;AB23)+COUNTIFS($R$5:$R$36,R23,$AC$5:$AC$36,AC23,$AB$5:$AB$36,AB23,$Z$5:$Z$36,"&gt;"&amp;Z23))</x:f>
      </x:c>
      <x:c r="T23" s="38" t="n">
        <x:f>Teams!A23</x:f>
        <x:v>0</x:v>
      </x:c>
      <x:c r="U23" s="38" t="n">
        <x:f>Teams!C23</x:f>
        <x:v>0</x:v>
      </x:c>
      <x:c r="V23" s="38" t="str">
        <x:f>IF(T23="","",SUMPRODUCT(('Official Results'!$K$5:$K$204="Yes")*(('Official Results'!$C$5:$C$204=T23)+('Official Results'!$E$5:$E$204=T23))))</x:f>
      </x:c>
      <x:c r="W23" s="38" t="str">
        <x:f>IF(T23="","",SUMPRODUCT(('Official Results'!$K$5:$K$204="Yes")*('Official Results'!$C$5:$C$204=T23)*('Official Results'!$G$5:$G$204&gt;'Official Results'!$H$5:$H$204))+SUMPRODUCT(('Official Results'!$K$5:$K$204="Yes")*('Official Results'!$E$5:$E$204=T23)*('Official Results'!$H$5:$H$204&gt;'Official Results'!$G$5:$G$204)))</x:f>
      </x:c>
      <x:c r="X23" s="38" t="str">
        <x:f>IF(T23="","",SUMPRODUCT(('Official Results'!$K$5:$K$204="Yes")*(('Official Results'!$C$5:$C$204=T23)+('Official Results'!$E$5:$E$204=T23))*('Official Results'!$G$5:$G$204='Official Results'!$H$5:$H$204)))</x:f>
      </x:c>
      <x:c r="Y23" s="38" t="str">
        <x:f>IF(T23="","",V23-W23-X23)</x:f>
      </x:c>
      <x:c r="Z23" s="38" t="str">
        <x:f>IF(T23="","",SUMPRODUCT(('Official Results'!$K$5:$K$204="Yes")*('Official Results'!$C$5:$C$204=T23)*'Official Results'!$G$5:$G$204)+SUMPRODUCT(('Official Results'!$K$5:$K$204="Yes")*('Official Results'!$E$5:$E$204=T23)*'Official Results'!$H$5:$H$204))</x:f>
      </x:c>
      <x:c r="AA23" s="38" t="str">
        <x:f>IF(T23="","",SUMPRODUCT(('Official Results'!$K$5:$K$204="Yes")*('Official Results'!$C$5:$C$204=T23)*'Official Results'!$H$5:$H$204)+SUMPRODUCT(('Official Results'!$K$5:$K$204="Yes")*('Official Results'!$E$5:$E$204=T23)*'Official Results'!$G$5:$G$204))</x:f>
      </x:c>
      <x:c r="AB23" s="38" t="str">
        <x:f>IF(T23="","",Z23-AA23)</x:f>
      </x:c>
      <x:c r="AC23" s="38" t="str">
        <x:f>IF(T23="","",W23*Rules!$C$5+X23*Rules!$C$6+Y23*Rules!$C$7)</x:f>
      </x:c>
      <x:c r="AD23" s="38" t="str">
        <x:f>AC23</x:f>
      </x:c>
      <x:c r="AE23" s="38" t="str">
        <x:f>AB23</x:f>
      </x:c>
      <x:c r="AF23" s="38" t="str">
        <x:f>Z23</x:f>
      </x:c>
      <x:c r="AG23" s="38" t="str">
        <x:f>IF(T23="","",IF(Teams!E23&lt;&gt;"Active","Team not active",""))</x:f>
      </x:c>
      <x:c r="AH23" s="38" t="str">
        <x:f>IF(R23="","",COUNTIF($R$5:$R$36,"&lt;"&amp;R23)*100000+S23*1000+COUNTIFS($R$5:$R$36,R23,$S$5:$S$36,S23,$U$5:$U$36,"&lt;="&amp;U23))</x:f>
      </x:c>
    </x:row>
    <x:row r="24" ht="15" hidden="0" customHeight="1">
      <x:c r="A24" s="48" t="str">
        <x:f>IF($Q24="","",INDEX($R$5:$AG$36,MATCH($Q24,$AH$5:$AH$36,0),1))</x:f>
      </x:c>
      <x:c r="B24" s="38" t="str">
        <x:f>IF($Q24="","",INDEX($R$5:$AG$36,MATCH($Q24,$AH$5:$AH$36,0),2))</x:f>
      </x:c>
      <x:c r="C24" s="38" t="str">
        <x:f>IF($Q24="","",INDEX($R$5:$AG$36,MATCH($Q24,$AH$5:$AH$36,0),3))</x:f>
      </x:c>
      <x:c r="D24" s="38" t="str">
        <x:f>IF($Q24="","",INDEX($R$5:$AG$36,MATCH($Q24,$AH$5:$AH$36,0),4))</x:f>
      </x:c>
      <x:c r="E24" s="38" t="str">
        <x:f>IF($Q24="","",INDEX($R$5:$AG$36,MATCH($Q24,$AH$5:$AH$36,0),5))</x:f>
      </x:c>
      <x:c r="F24" s="38" t="str">
        <x:f>IF($Q24="","",INDEX($R$5:$AG$36,MATCH($Q24,$AH$5:$AH$36,0),6))</x:f>
      </x:c>
      <x:c r="G24" s="38" t="str">
        <x:f>IF($Q24="","",INDEX($R$5:$AG$36,MATCH($Q24,$AH$5:$AH$36,0),7))</x:f>
      </x:c>
      <x:c r="H24" s="38" t="str">
        <x:f>IF($Q24="","",INDEX($R$5:$AG$36,MATCH($Q24,$AH$5:$AH$36,0),8))</x:f>
      </x:c>
      <x:c r="I24" s="38" t="str">
        <x:f>IF($Q24="","",INDEX($R$5:$AG$36,MATCH($Q24,$AH$5:$AH$36,0),9))</x:f>
      </x:c>
      <x:c r="J24" s="38" t="str">
        <x:f>IF($Q24="","",INDEX($R$5:$AG$36,MATCH($Q24,$AH$5:$AH$36,0),10))</x:f>
      </x:c>
      <x:c r="K24" s="38" t="str">
        <x:f>IF($Q24="","",INDEX($R$5:$AG$36,MATCH($Q24,$AH$5:$AH$36,0),11))</x:f>
      </x:c>
      <x:c r="L24" s="38" t="str">
        <x:f>IF($Q24="","",INDEX($R$5:$AG$36,MATCH($Q24,$AH$5:$AH$36,0),12))</x:f>
      </x:c>
      <x:c r="M24" s="38" t="str">
        <x:f>IF($Q24="","",INDEX($R$5:$AG$36,MATCH($Q24,$AH$5:$AH$36,0),13))</x:f>
      </x:c>
      <x:c r="N24" s="38" t="str">
        <x:f>IF($Q24="","",INDEX($R$5:$AG$36,MATCH($Q24,$AH$5:$AH$36,0),14))</x:f>
      </x:c>
      <x:c r="O24" s="38" t="str">
        <x:f>IF($Q24="","",INDEX($R$5:$AG$36,MATCH($Q24,$AH$5:$AH$36,0),15))</x:f>
      </x:c>
      <x:c r="P24" s="49" t="str">
        <x:f>IF($Q24="","",INDEX($R$5:$AG$36,MATCH($Q24,$AH$5:$AH$36,0),16))</x:f>
      </x:c>
      <x:c r="Q24" s="38" t="str">
        <x:f>IFERROR(SMALL($AH$5:$AH$36,ROWS($Q$5:Q24)),"")</x:f>
      </x:c>
      <x:c r="R24" s="38" t="str">
        <x:f>IF(Teams!A24="","",Teams!D24)</x:f>
      </x:c>
      <x:c r="S24" s="38" t="str">
        <x:f>IF(T24="","",1+COUNTIFS($R$5:$R$36,R24,$AC$5:$AC$36,"&gt;"&amp;AC24)+COUNTIFS($R$5:$R$36,R24,$AC$5:$AC$36,AC24,$AB$5:$AB$36,"&gt;"&amp;AB24)+COUNTIFS($R$5:$R$36,R24,$AC$5:$AC$36,AC24,$AB$5:$AB$36,AB24,$Z$5:$Z$36,"&gt;"&amp;Z24))</x:f>
      </x:c>
      <x:c r="T24" s="38" t="n">
        <x:f>Teams!A24</x:f>
        <x:v>0</x:v>
      </x:c>
      <x:c r="U24" s="38" t="n">
        <x:f>Teams!C24</x:f>
        <x:v>0</x:v>
      </x:c>
      <x:c r="V24" s="38" t="str">
        <x:f>IF(T24="","",SUMPRODUCT(('Official Results'!$K$5:$K$204="Yes")*(('Official Results'!$C$5:$C$204=T24)+('Official Results'!$E$5:$E$204=T24))))</x:f>
      </x:c>
      <x:c r="W24" s="38" t="str">
        <x:f>IF(T24="","",SUMPRODUCT(('Official Results'!$K$5:$K$204="Yes")*('Official Results'!$C$5:$C$204=T24)*('Official Results'!$G$5:$G$204&gt;'Official Results'!$H$5:$H$204))+SUMPRODUCT(('Official Results'!$K$5:$K$204="Yes")*('Official Results'!$E$5:$E$204=T24)*('Official Results'!$H$5:$H$204&gt;'Official Results'!$G$5:$G$204)))</x:f>
      </x:c>
      <x:c r="X24" s="38" t="str">
        <x:f>IF(T24="","",SUMPRODUCT(('Official Results'!$K$5:$K$204="Yes")*(('Official Results'!$C$5:$C$204=T24)+('Official Results'!$E$5:$E$204=T24))*('Official Results'!$G$5:$G$204='Official Results'!$H$5:$H$204)))</x:f>
      </x:c>
      <x:c r="Y24" s="38" t="str">
        <x:f>IF(T24="","",V24-W24-X24)</x:f>
      </x:c>
      <x:c r="Z24" s="38" t="str">
        <x:f>IF(T24="","",SUMPRODUCT(('Official Results'!$K$5:$K$204="Yes")*('Official Results'!$C$5:$C$204=T24)*'Official Results'!$G$5:$G$204)+SUMPRODUCT(('Official Results'!$K$5:$K$204="Yes")*('Official Results'!$E$5:$E$204=T24)*'Official Results'!$H$5:$H$204))</x:f>
      </x:c>
      <x:c r="AA24" s="38" t="str">
        <x:f>IF(T24="","",SUMPRODUCT(('Official Results'!$K$5:$K$204="Yes")*('Official Results'!$C$5:$C$204=T24)*'Official Results'!$H$5:$H$204)+SUMPRODUCT(('Official Results'!$K$5:$K$204="Yes")*('Official Results'!$E$5:$E$204=T24)*'Official Results'!$G$5:$G$204))</x:f>
      </x:c>
      <x:c r="AB24" s="38" t="str">
        <x:f>IF(T24="","",Z24-AA24)</x:f>
      </x:c>
      <x:c r="AC24" s="38" t="str">
        <x:f>IF(T24="","",W24*Rules!$C$5+X24*Rules!$C$6+Y24*Rules!$C$7)</x:f>
      </x:c>
      <x:c r="AD24" s="38" t="str">
        <x:f>AC24</x:f>
      </x:c>
      <x:c r="AE24" s="38" t="str">
        <x:f>AB24</x:f>
      </x:c>
      <x:c r="AF24" s="38" t="str">
        <x:f>Z24</x:f>
      </x:c>
      <x:c r="AG24" s="38" t="str">
        <x:f>IF(T24="","",IF(Teams!E24&lt;&gt;"Active","Team not active",""))</x:f>
      </x:c>
      <x:c r="AH24" s="38" t="str">
        <x:f>IF(R24="","",COUNTIF($R$5:$R$36,"&lt;"&amp;R24)*100000+S24*1000+COUNTIFS($R$5:$R$36,R24,$S$5:$S$36,S24,$U$5:$U$36,"&lt;="&amp;U24))</x:f>
      </x:c>
    </x:row>
    <x:row r="25" ht="15" hidden="0" customHeight="1">
      <x:c r="A25" s="48" t="str">
        <x:f>IF($Q25="","",INDEX($R$5:$AG$36,MATCH($Q25,$AH$5:$AH$36,0),1))</x:f>
      </x:c>
      <x:c r="B25" s="38" t="str">
        <x:f>IF($Q25="","",INDEX($R$5:$AG$36,MATCH($Q25,$AH$5:$AH$36,0),2))</x:f>
      </x:c>
      <x:c r="C25" s="38" t="str">
        <x:f>IF($Q25="","",INDEX($R$5:$AG$36,MATCH($Q25,$AH$5:$AH$36,0),3))</x:f>
      </x:c>
      <x:c r="D25" s="38" t="str">
        <x:f>IF($Q25="","",INDEX($R$5:$AG$36,MATCH($Q25,$AH$5:$AH$36,0),4))</x:f>
      </x:c>
      <x:c r="E25" s="38" t="str">
        <x:f>IF($Q25="","",INDEX($R$5:$AG$36,MATCH($Q25,$AH$5:$AH$36,0),5))</x:f>
      </x:c>
      <x:c r="F25" s="38" t="str">
        <x:f>IF($Q25="","",INDEX($R$5:$AG$36,MATCH($Q25,$AH$5:$AH$36,0),6))</x:f>
      </x:c>
      <x:c r="G25" s="38" t="str">
        <x:f>IF($Q25="","",INDEX($R$5:$AG$36,MATCH($Q25,$AH$5:$AH$36,0),7))</x:f>
      </x:c>
      <x:c r="H25" s="38" t="str">
        <x:f>IF($Q25="","",INDEX($R$5:$AG$36,MATCH($Q25,$AH$5:$AH$36,0),8))</x:f>
      </x:c>
      <x:c r="I25" s="38" t="str">
        <x:f>IF($Q25="","",INDEX($R$5:$AG$36,MATCH($Q25,$AH$5:$AH$36,0),9))</x:f>
      </x:c>
      <x:c r="J25" s="38" t="str">
        <x:f>IF($Q25="","",INDEX($R$5:$AG$36,MATCH($Q25,$AH$5:$AH$36,0),10))</x:f>
      </x:c>
      <x:c r="K25" s="38" t="str">
        <x:f>IF($Q25="","",INDEX($R$5:$AG$36,MATCH($Q25,$AH$5:$AH$36,0),11))</x:f>
      </x:c>
      <x:c r="L25" s="38" t="str">
        <x:f>IF($Q25="","",INDEX($R$5:$AG$36,MATCH($Q25,$AH$5:$AH$36,0),12))</x:f>
      </x:c>
      <x:c r="M25" s="38" t="str">
        <x:f>IF($Q25="","",INDEX($R$5:$AG$36,MATCH($Q25,$AH$5:$AH$36,0),13))</x:f>
      </x:c>
      <x:c r="N25" s="38" t="str">
        <x:f>IF($Q25="","",INDEX($R$5:$AG$36,MATCH($Q25,$AH$5:$AH$36,0),14))</x:f>
      </x:c>
      <x:c r="O25" s="38" t="str">
        <x:f>IF($Q25="","",INDEX($R$5:$AG$36,MATCH($Q25,$AH$5:$AH$36,0),15))</x:f>
      </x:c>
      <x:c r="P25" s="49" t="str">
        <x:f>IF($Q25="","",INDEX($R$5:$AG$36,MATCH($Q25,$AH$5:$AH$36,0),16))</x:f>
      </x:c>
      <x:c r="Q25" s="38" t="str">
        <x:f>IFERROR(SMALL($AH$5:$AH$36,ROWS($Q$5:Q25)),"")</x:f>
      </x:c>
      <x:c r="R25" s="38" t="str">
        <x:f>IF(Teams!A25="","",Teams!D25)</x:f>
      </x:c>
      <x:c r="S25" s="38" t="str">
        <x:f>IF(T25="","",1+COUNTIFS($R$5:$R$36,R25,$AC$5:$AC$36,"&gt;"&amp;AC25)+COUNTIFS($R$5:$R$36,R25,$AC$5:$AC$36,AC25,$AB$5:$AB$36,"&gt;"&amp;AB25)+COUNTIFS($R$5:$R$36,R25,$AC$5:$AC$36,AC25,$AB$5:$AB$36,AB25,$Z$5:$Z$36,"&gt;"&amp;Z25))</x:f>
      </x:c>
      <x:c r="T25" s="38" t="n">
        <x:f>Teams!A25</x:f>
        <x:v>0</x:v>
      </x:c>
      <x:c r="U25" s="38" t="n">
        <x:f>Teams!C25</x:f>
        <x:v>0</x:v>
      </x:c>
      <x:c r="V25" s="38" t="str">
        <x:f>IF(T25="","",SUMPRODUCT(('Official Results'!$K$5:$K$204="Yes")*(('Official Results'!$C$5:$C$204=T25)+('Official Results'!$E$5:$E$204=T25))))</x:f>
      </x:c>
      <x:c r="W25" s="38" t="str">
        <x:f>IF(T25="","",SUMPRODUCT(('Official Results'!$K$5:$K$204="Yes")*('Official Results'!$C$5:$C$204=T25)*('Official Results'!$G$5:$G$204&gt;'Official Results'!$H$5:$H$204))+SUMPRODUCT(('Official Results'!$K$5:$K$204="Yes")*('Official Results'!$E$5:$E$204=T25)*('Official Results'!$H$5:$H$204&gt;'Official Results'!$G$5:$G$204)))</x:f>
      </x:c>
      <x:c r="X25" s="38" t="str">
        <x:f>IF(T25="","",SUMPRODUCT(('Official Results'!$K$5:$K$204="Yes")*(('Official Results'!$C$5:$C$204=T25)+('Official Results'!$E$5:$E$204=T25))*('Official Results'!$G$5:$G$204='Official Results'!$H$5:$H$204)))</x:f>
      </x:c>
      <x:c r="Y25" s="38" t="str">
        <x:f>IF(T25="","",V25-W25-X25)</x:f>
      </x:c>
      <x:c r="Z25" s="38" t="str">
        <x:f>IF(T25="","",SUMPRODUCT(('Official Results'!$K$5:$K$204="Yes")*('Official Results'!$C$5:$C$204=T25)*'Official Results'!$G$5:$G$204)+SUMPRODUCT(('Official Results'!$K$5:$K$204="Yes")*('Official Results'!$E$5:$E$204=T25)*'Official Results'!$H$5:$H$204))</x:f>
      </x:c>
      <x:c r="AA25" s="38" t="str">
        <x:f>IF(T25="","",SUMPRODUCT(('Official Results'!$K$5:$K$204="Yes")*('Official Results'!$C$5:$C$204=T25)*'Official Results'!$H$5:$H$204)+SUMPRODUCT(('Official Results'!$K$5:$K$204="Yes")*('Official Results'!$E$5:$E$204=T25)*'Official Results'!$G$5:$G$204))</x:f>
      </x:c>
      <x:c r="AB25" s="38" t="str">
        <x:f>IF(T25="","",Z25-AA25)</x:f>
      </x:c>
      <x:c r="AC25" s="38" t="str">
        <x:f>IF(T25="","",W25*Rules!$C$5+X25*Rules!$C$6+Y25*Rules!$C$7)</x:f>
      </x:c>
      <x:c r="AD25" s="38" t="str">
        <x:f>AC25</x:f>
      </x:c>
      <x:c r="AE25" s="38" t="str">
        <x:f>AB25</x:f>
      </x:c>
      <x:c r="AF25" s="38" t="str">
        <x:f>Z25</x:f>
      </x:c>
      <x:c r="AG25" s="38" t="str">
        <x:f>IF(T25="","",IF(Teams!E25&lt;&gt;"Active","Team not active",""))</x:f>
      </x:c>
      <x:c r="AH25" s="38" t="str">
        <x:f>IF(R25="","",COUNTIF($R$5:$R$36,"&lt;"&amp;R25)*100000+S25*1000+COUNTIFS($R$5:$R$36,R25,$S$5:$S$36,S25,$U$5:$U$36,"&lt;="&amp;U25))</x:f>
      </x:c>
    </x:row>
    <x:row r="26" ht="15" hidden="0" customHeight="1">
      <x:c r="A26" s="48" t="str">
        <x:f>IF($Q26="","",INDEX($R$5:$AG$36,MATCH($Q26,$AH$5:$AH$36,0),1))</x:f>
      </x:c>
      <x:c r="B26" s="38" t="str">
        <x:f>IF($Q26="","",INDEX($R$5:$AG$36,MATCH($Q26,$AH$5:$AH$36,0),2))</x:f>
      </x:c>
      <x:c r="C26" s="38" t="str">
        <x:f>IF($Q26="","",INDEX($R$5:$AG$36,MATCH($Q26,$AH$5:$AH$36,0),3))</x:f>
      </x:c>
      <x:c r="D26" s="38" t="str">
        <x:f>IF($Q26="","",INDEX($R$5:$AG$36,MATCH($Q26,$AH$5:$AH$36,0),4))</x:f>
      </x:c>
      <x:c r="E26" s="38" t="str">
        <x:f>IF($Q26="","",INDEX($R$5:$AG$36,MATCH($Q26,$AH$5:$AH$36,0),5))</x:f>
      </x:c>
      <x:c r="F26" s="38" t="str">
        <x:f>IF($Q26="","",INDEX($R$5:$AG$36,MATCH($Q26,$AH$5:$AH$36,0),6))</x:f>
      </x:c>
      <x:c r="G26" s="38" t="str">
        <x:f>IF($Q26="","",INDEX($R$5:$AG$36,MATCH($Q26,$AH$5:$AH$36,0),7))</x:f>
      </x:c>
      <x:c r="H26" s="38" t="str">
        <x:f>IF($Q26="","",INDEX($R$5:$AG$36,MATCH($Q26,$AH$5:$AH$36,0),8))</x:f>
      </x:c>
      <x:c r="I26" s="38" t="str">
        <x:f>IF($Q26="","",INDEX($R$5:$AG$36,MATCH($Q26,$AH$5:$AH$36,0),9))</x:f>
      </x:c>
      <x:c r="J26" s="38" t="str">
        <x:f>IF($Q26="","",INDEX($R$5:$AG$36,MATCH($Q26,$AH$5:$AH$36,0),10))</x:f>
      </x:c>
      <x:c r="K26" s="38" t="str">
        <x:f>IF($Q26="","",INDEX($R$5:$AG$36,MATCH($Q26,$AH$5:$AH$36,0),11))</x:f>
      </x:c>
      <x:c r="L26" s="38" t="str">
        <x:f>IF($Q26="","",INDEX($R$5:$AG$36,MATCH($Q26,$AH$5:$AH$36,0),12))</x:f>
      </x:c>
      <x:c r="M26" s="38" t="str">
        <x:f>IF($Q26="","",INDEX($R$5:$AG$36,MATCH($Q26,$AH$5:$AH$36,0),13))</x:f>
      </x:c>
      <x:c r="N26" s="38" t="str">
        <x:f>IF($Q26="","",INDEX($R$5:$AG$36,MATCH($Q26,$AH$5:$AH$36,0),14))</x:f>
      </x:c>
      <x:c r="O26" s="38" t="str">
        <x:f>IF($Q26="","",INDEX($R$5:$AG$36,MATCH($Q26,$AH$5:$AH$36,0),15))</x:f>
      </x:c>
      <x:c r="P26" s="49" t="str">
        <x:f>IF($Q26="","",INDEX($R$5:$AG$36,MATCH($Q26,$AH$5:$AH$36,0),16))</x:f>
      </x:c>
      <x:c r="Q26" s="38" t="str">
        <x:f>IFERROR(SMALL($AH$5:$AH$36,ROWS($Q$5:Q26)),"")</x:f>
      </x:c>
      <x:c r="R26" s="38" t="str">
        <x:f>IF(Teams!A26="","",Teams!D26)</x:f>
      </x:c>
      <x:c r="S26" s="38" t="str">
        <x:f>IF(T26="","",1+COUNTIFS($R$5:$R$36,R26,$AC$5:$AC$36,"&gt;"&amp;AC26)+COUNTIFS($R$5:$R$36,R26,$AC$5:$AC$36,AC26,$AB$5:$AB$36,"&gt;"&amp;AB26)+COUNTIFS($R$5:$R$36,R26,$AC$5:$AC$36,AC26,$AB$5:$AB$36,AB26,$Z$5:$Z$36,"&gt;"&amp;Z26))</x:f>
      </x:c>
      <x:c r="T26" s="38" t="n">
        <x:f>Teams!A26</x:f>
        <x:v>0</x:v>
      </x:c>
      <x:c r="U26" s="38" t="n">
        <x:f>Teams!C26</x:f>
        <x:v>0</x:v>
      </x:c>
      <x:c r="V26" s="38" t="str">
        <x:f>IF(T26="","",SUMPRODUCT(('Official Results'!$K$5:$K$204="Yes")*(('Official Results'!$C$5:$C$204=T26)+('Official Results'!$E$5:$E$204=T26))))</x:f>
      </x:c>
      <x:c r="W26" s="38" t="str">
        <x:f>IF(T26="","",SUMPRODUCT(('Official Results'!$K$5:$K$204="Yes")*('Official Results'!$C$5:$C$204=T26)*('Official Results'!$G$5:$G$204&gt;'Official Results'!$H$5:$H$204))+SUMPRODUCT(('Official Results'!$K$5:$K$204="Yes")*('Official Results'!$E$5:$E$204=T26)*('Official Results'!$H$5:$H$204&gt;'Official Results'!$G$5:$G$204)))</x:f>
      </x:c>
      <x:c r="X26" s="38" t="str">
        <x:f>IF(T26="","",SUMPRODUCT(('Official Results'!$K$5:$K$204="Yes")*(('Official Results'!$C$5:$C$204=T26)+('Official Results'!$E$5:$E$204=T26))*('Official Results'!$G$5:$G$204='Official Results'!$H$5:$H$204)))</x:f>
      </x:c>
      <x:c r="Y26" s="38" t="str">
        <x:f>IF(T26="","",V26-W26-X26)</x:f>
      </x:c>
      <x:c r="Z26" s="38" t="str">
        <x:f>IF(T26="","",SUMPRODUCT(('Official Results'!$K$5:$K$204="Yes")*('Official Results'!$C$5:$C$204=T26)*'Official Results'!$G$5:$G$204)+SUMPRODUCT(('Official Results'!$K$5:$K$204="Yes")*('Official Results'!$E$5:$E$204=T26)*'Official Results'!$H$5:$H$204))</x:f>
      </x:c>
      <x:c r="AA26" s="38" t="str">
        <x:f>IF(T26="","",SUMPRODUCT(('Official Results'!$K$5:$K$204="Yes")*('Official Results'!$C$5:$C$204=T26)*'Official Results'!$H$5:$H$204)+SUMPRODUCT(('Official Results'!$K$5:$K$204="Yes")*('Official Results'!$E$5:$E$204=T26)*'Official Results'!$G$5:$G$204))</x:f>
      </x:c>
      <x:c r="AB26" s="38" t="str">
        <x:f>IF(T26="","",Z26-AA26)</x:f>
      </x:c>
      <x:c r="AC26" s="38" t="str">
        <x:f>IF(T26="","",W26*Rules!$C$5+X26*Rules!$C$6+Y26*Rules!$C$7)</x:f>
      </x:c>
      <x:c r="AD26" s="38" t="str">
        <x:f>AC26</x:f>
      </x:c>
      <x:c r="AE26" s="38" t="str">
        <x:f>AB26</x:f>
      </x:c>
      <x:c r="AF26" s="38" t="str">
        <x:f>Z26</x:f>
      </x:c>
      <x:c r="AG26" s="38" t="str">
        <x:f>IF(T26="","",IF(Teams!E26&lt;&gt;"Active","Team not active",""))</x:f>
      </x:c>
      <x:c r="AH26" s="38" t="str">
        <x:f>IF(R26="","",COUNTIF($R$5:$R$36,"&lt;"&amp;R26)*100000+S26*1000+COUNTIFS($R$5:$R$36,R26,$S$5:$S$36,S26,$U$5:$U$36,"&lt;="&amp;U26))</x:f>
      </x:c>
    </x:row>
    <x:row r="27" ht="15" hidden="0" customHeight="1">
      <x:c r="A27" s="48" t="str">
        <x:f>IF($Q27="","",INDEX($R$5:$AG$36,MATCH($Q27,$AH$5:$AH$36,0),1))</x:f>
      </x:c>
      <x:c r="B27" s="38" t="str">
        <x:f>IF($Q27="","",INDEX($R$5:$AG$36,MATCH($Q27,$AH$5:$AH$36,0),2))</x:f>
      </x:c>
      <x:c r="C27" s="38" t="str">
        <x:f>IF($Q27="","",INDEX($R$5:$AG$36,MATCH($Q27,$AH$5:$AH$36,0),3))</x:f>
      </x:c>
      <x:c r="D27" s="38" t="str">
        <x:f>IF($Q27="","",INDEX($R$5:$AG$36,MATCH($Q27,$AH$5:$AH$36,0),4))</x:f>
      </x:c>
      <x:c r="E27" s="38" t="str">
        <x:f>IF($Q27="","",INDEX($R$5:$AG$36,MATCH($Q27,$AH$5:$AH$36,0),5))</x:f>
      </x:c>
      <x:c r="F27" s="38" t="str">
        <x:f>IF($Q27="","",INDEX($R$5:$AG$36,MATCH($Q27,$AH$5:$AH$36,0),6))</x:f>
      </x:c>
      <x:c r="G27" s="38" t="str">
        <x:f>IF($Q27="","",INDEX($R$5:$AG$36,MATCH($Q27,$AH$5:$AH$36,0),7))</x:f>
      </x:c>
      <x:c r="H27" s="38" t="str">
        <x:f>IF($Q27="","",INDEX($R$5:$AG$36,MATCH($Q27,$AH$5:$AH$36,0),8))</x:f>
      </x:c>
      <x:c r="I27" s="38" t="str">
        <x:f>IF($Q27="","",INDEX($R$5:$AG$36,MATCH($Q27,$AH$5:$AH$36,0),9))</x:f>
      </x:c>
      <x:c r="J27" s="38" t="str">
        <x:f>IF($Q27="","",INDEX($R$5:$AG$36,MATCH($Q27,$AH$5:$AH$36,0),10))</x:f>
      </x:c>
      <x:c r="K27" s="38" t="str">
        <x:f>IF($Q27="","",INDEX($R$5:$AG$36,MATCH($Q27,$AH$5:$AH$36,0),11))</x:f>
      </x:c>
      <x:c r="L27" s="38" t="str">
        <x:f>IF($Q27="","",INDEX($R$5:$AG$36,MATCH($Q27,$AH$5:$AH$36,0),12))</x:f>
      </x:c>
      <x:c r="M27" s="38" t="str">
        <x:f>IF($Q27="","",INDEX($R$5:$AG$36,MATCH($Q27,$AH$5:$AH$36,0),13))</x:f>
      </x:c>
      <x:c r="N27" s="38" t="str">
        <x:f>IF($Q27="","",INDEX($R$5:$AG$36,MATCH($Q27,$AH$5:$AH$36,0),14))</x:f>
      </x:c>
      <x:c r="O27" s="38" t="str">
        <x:f>IF($Q27="","",INDEX($R$5:$AG$36,MATCH($Q27,$AH$5:$AH$36,0),15))</x:f>
      </x:c>
      <x:c r="P27" s="49" t="str">
        <x:f>IF($Q27="","",INDEX($R$5:$AG$36,MATCH($Q27,$AH$5:$AH$36,0),16))</x:f>
      </x:c>
      <x:c r="Q27" s="38" t="str">
        <x:f>IFERROR(SMALL($AH$5:$AH$36,ROWS($Q$5:Q27)),"")</x:f>
      </x:c>
      <x:c r="R27" s="38" t="str">
        <x:f>IF(Teams!A27="","",Teams!D27)</x:f>
      </x:c>
      <x:c r="S27" s="38" t="str">
        <x:f>IF(T27="","",1+COUNTIFS($R$5:$R$36,R27,$AC$5:$AC$36,"&gt;"&amp;AC27)+COUNTIFS($R$5:$R$36,R27,$AC$5:$AC$36,AC27,$AB$5:$AB$36,"&gt;"&amp;AB27)+COUNTIFS($R$5:$R$36,R27,$AC$5:$AC$36,AC27,$AB$5:$AB$36,AB27,$Z$5:$Z$36,"&gt;"&amp;Z27))</x:f>
      </x:c>
      <x:c r="T27" s="38" t="n">
        <x:f>Teams!A27</x:f>
        <x:v>0</x:v>
      </x:c>
      <x:c r="U27" s="38" t="n">
        <x:f>Teams!C27</x:f>
        <x:v>0</x:v>
      </x:c>
      <x:c r="V27" s="38" t="str">
        <x:f>IF(T27="","",SUMPRODUCT(('Official Results'!$K$5:$K$204="Yes")*(('Official Results'!$C$5:$C$204=T27)+('Official Results'!$E$5:$E$204=T27))))</x:f>
      </x:c>
      <x:c r="W27" s="38" t="str">
        <x:f>IF(T27="","",SUMPRODUCT(('Official Results'!$K$5:$K$204="Yes")*('Official Results'!$C$5:$C$204=T27)*('Official Results'!$G$5:$G$204&gt;'Official Results'!$H$5:$H$204))+SUMPRODUCT(('Official Results'!$K$5:$K$204="Yes")*('Official Results'!$E$5:$E$204=T27)*('Official Results'!$H$5:$H$204&gt;'Official Results'!$G$5:$G$204)))</x:f>
      </x:c>
      <x:c r="X27" s="38" t="str">
        <x:f>IF(T27="","",SUMPRODUCT(('Official Results'!$K$5:$K$204="Yes")*(('Official Results'!$C$5:$C$204=T27)+('Official Results'!$E$5:$E$204=T27))*('Official Results'!$G$5:$G$204='Official Results'!$H$5:$H$204)))</x:f>
      </x:c>
      <x:c r="Y27" s="38" t="str">
        <x:f>IF(T27="","",V27-W27-X27)</x:f>
      </x:c>
      <x:c r="Z27" s="38" t="str">
        <x:f>IF(T27="","",SUMPRODUCT(('Official Results'!$K$5:$K$204="Yes")*('Official Results'!$C$5:$C$204=T27)*'Official Results'!$G$5:$G$204)+SUMPRODUCT(('Official Results'!$K$5:$K$204="Yes")*('Official Results'!$E$5:$E$204=T27)*'Official Results'!$H$5:$H$204))</x:f>
      </x:c>
      <x:c r="AA27" s="38" t="str">
        <x:f>IF(T27="","",SUMPRODUCT(('Official Results'!$K$5:$K$204="Yes")*('Official Results'!$C$5:$C$204=T27)*'Official Results'!$H$5:$H$204)+SUMPRODUCT(('Official Results'!$K$5:$K$204="Yes")*('Official Results'!$E$5:$E$204=T27)*'Official Results'!$G$5:$G$204))</x:f>
      </x:c>
      <x:c r="AB27" s="38" t="str">
        <x:f>IF(T27="","",Z27-AA27)</x:f>
      </x:c>
      <x:c r="AC27" s="38" t="str">
        <x:f>IF(T27="","",W27*Rules!$C$5+X27*Rules!$C$6+Y27*Rules!$C$7)</x:f>
      </x:c>
      <x:c r="AD27" s="38" t="str">
        <x:f>AC27</x:f>
      </x:c>
      <x:c r="AE27" s="38" t="str">
        <x:f>AB27</x:f>
      </x:c>
      <x:c r="AF27" s="38" t="str">
        <x:f>Z27</x:f>
      </x:c>
      <x:c r="AG27" s="38" t="str">
        <x:f>IF(T27="","",IF(Teams!E27&lt;&gt;"Active","Team not active",""))</x:f>
      </x:c>
      <x:c r="AH27" s="38" t="str">
        <x:f>IF(R27="","",COUNTIF($R$5:$R$36,"&lt;"&amp;R27)*100000+S27*1000+COUNTIFS($R$5:$R$36,R27,$S$5:$S$36,S27,$U$5:$U$36,"&lt;="&amp;U27))</x:f>
      </x:c>
    </x:row>
    <x:row r="28" ht="15" hidden="0" customHeight="1">
      <x:c r="A28" s="48" t="str">
        <x:f>IF($Q28="","",INDEX($R$5:$AG$36,MATCH($Q28,$AH$5:$AH$36,0),1))</x:f>
      </x:c>
      <x:c r="B28" s="38" t="str">
        <x:f>IF($Q28="","",INDEX($R$5:$AG$36,MATCH($Q28,$AH$5:$AH$36,0),2))</x:f>
      </x:c>
      <x:c r="C28" s="38" t="str">
        <x:f>IF($Q28="","",INDEX($R$5:$AG$36,MATCH($Q28,$AH$5:$AH$36,0),3))</x:f>
      </x:c>
      <x:c r="D28" s="38" t="str">
        <x:f>IF($Q28="","",INDEX($R$5:$AG$36,MATCH($Q28,$AH$5:$AH$36,0),4))</x:f>
      </x:c>
      <x:c r="E28" s="38" t="str">
        <x:f>IF($Q28="","",INDEX($R$5:$AG$36,MATCH($Q28,$AH$5:$AH$36,0),5))</x:f>
      </x:c>
      <x:c r="F28" s="38" t="str">
        <x:f>IF($Q28="","",INDEX($R$5:$AG$36,MATCH($Q28,$AH$5:$AH$36,0),6))</x:f>
      </x:c>
      <x:c r="G28" s="38" t="str">
        <x:f>IF($Q28="","",INDEX($R$5:$AG$36,MATCH($Q28,$AH$5:$AH$36,0),7))</x:f>
      </x:c>
      <x:c r="H28" s="38" t="str">
        <x:f>IF($Q28="","",INDEX($R$5:$AG$36,MATCH($Q28,$AH$5:$AH$36,0),8))</x:f>
      </x:c>
      <x:c r="I28" s="38" t="str">
        <x:f>IF($Q28="","",INDEX($R$5:$AG$36,MATCH($Q28,$AH$5:$AH$36,0),9))</x:f>
      </x:c>
      <x:c r="J28" s="38" t="str">
        <x:f>IF($Q28="","",INDEX($R$5:$AG$36,MATCH($Q28,$AH$5:$AH$36,0),10))</x:f>
      </x:c>
      <x:c r="K28" s="38" t="str">
        <x:f>IF($Q28="","",INDEX($R$5:$AG$36,MATCH($Q28,$AH$5:$AH$36,0),11))</x:f>
      </x:c>
      <x:c r="L28" s="38" t="str">
        <x:f>IF($Q28="","",INDEX($R$5:$AG$36,MATCH($Q28,$AH$5:$AH$36,0),12))</x:f>
      </x:c>
      <x:c r="M28" s="38" t="str">
        <x:f>IF($Q28="","",INDEX($R$5:$AG$36,MATCH($Q28,$AH$5:$AH$36,0),13))</x:f>
      </x:c>
      <x:c r="N28" s="38" t="str">
        <x:f>IF($Q28="","",INDEX($R$5:$AG$36,MATCH($Q28,$AH$5:$AH$36,0),14))</x:f>
      </x:c>
      <x:c r="O28" s="38" t="str">
        <x:f>IF($Q28="","",INDEX($R$5:$AG$36,MATCH($Q28,$AH$5:$AH$36,0),15))</x:f>
      </x:c>
      <x:c r="P28" s="49" t="str">
        <x:f>IF($Q28="","",INDEX($R$5:$AG$36,MATCH($Q28,$AH$5:$AH$36,0),16))</x:f>
      </x:c>
      <x:c r="Q28" s="38" t="str">
        <x:f>IFERROR(SMALL($AH$5:$AH$36,ROWS($Q$5:Q28)),"")</x:f>
      </x:c>
      <x:c r="R28" s="38" t="str">
        <x:f>IF(Teams!A28="","",Teams!D28)</x:f>
      </x:c>
      <x:c r="S28" s="38" t="str">
        <x:f>IF(T28="","",1+COUNTIFS($R$5:$R$36,R28,$AC$5:$AC$36,"&gt;"&amp;AC28)+COUNTIFS($R$5:$R$36,R28,$AC$5:$AC$36,AC28,$AB$5:$AB$36,"&gt;"&amp;AB28)+COUNTIFS($R$5:$R$36,R28,$AC$5:$AC$36,AC28,$AB$5:$AB$36,AB28,$Z$5:$Z$36,"&gt;"&amp;Z28))</x:f>
      </x:c>
      <x:c r="T28" s="38" t="n">
        <x:f>Teams!A28</x:f>
        <x:v>0</x:v>
      </x:c>
      <x:c r="U28" s="38" t="n">
        <x:f>Teams!C28</x:f>
        <x:v>0</x:v>
      </x:c>
      <x:c r="V28" s="38" t="str">
        <x:f>IF(T28="","",SUMPRODUCT(('Official Results'!$K$5:$K$204="Yes")*(('Official Results'!$C$5:$C$204=T28)+('Official Results'!$E$5:$E$204=T28))))</x:f>
      </x:c>
      <x:c r="W28" s="38" t="str">
        <x:f>IF(T28="","",SUMPRODUCT(('Official Results'!$K$5:$K$204="Yes")*('Official Results'!$C$5:$C$204=T28)*('Official Results'!$G$5:$G$204&gt;'Official Results'!$H$5:$H$204))+SUMPRODUCT(('Official Results'!$K$5:$K$204="Yes")*('Official Results'!$E$5:$E$204=T28)*('Official Results'!$H$5:$H$204&gt;'Official Results'!$G$5:$G$204)))</x:f>
      </x:c>
      <x:c r="X28" s="38" t="str">
        <x:f>IF(T28="","",SUMPRODUCT(('Official Results'!$K$5:$K$204="Yes")*(('Official Results'!$C$5:$C$204=T28)+('Official Results'!$E$5:$E$204=T28))*('Official Results'!$G$5:$G$204='Official Results'!$H$5:$H$204)))</x:f>
      </x:c>
      <x:c r="Y28" s="38" t="str">
        <x:f>IF(T28="","",V28-W28-X28)</x:f>
      </x:c>
      <x:c r="Z28" s="38" t="str">
        <x:f>IF(T28="","",SUMPRODUCT(('Official Results'!$K$5:$K$204="Yes")*('Official Results'!$C$5:$C$204=T28)*'Official Results'!$G$5:$G$204)+SUMPRODUCT(('Official Results'!$K$5:$K$204="Yes")*('Official Results'!$E$5:$E$204=T28)*'Official Results'!$H$5:$H$204))</x:f>
      </x:c>
      <x:c r="AA28" s="38" t="str">
        <x:f>IF(T28="","",SUMPRODUCT(('Official Results'!$K$5:$K$204="Yes")*('Official Results'!$C$5:$C$204=T28)*'Official Results'!$H$5:$H$204)+SUMPRODUCT(('Official Results'!$K$5:$K$204="Yes")*('Official Results'!$E$5:$E$204=T28)*'Official Results'!$G$5:$G$204))</x:f>
      </x:c>
      <x:c r="AB28" s="38" t="str">
        <x:f>IF(T28="","",Z28-AA28)</x:f>
      </x:c>
      <x:c r="AC28" s="38" t="str">
        <x:f>IF(T28="","",W28*Rules!$C$5+X28*Rules!$C$6+Y28*Rules!$C$7)</x:f>
      </x:c>
      <x:c r="AD28" s="38" t="str">
        <x:f>AC28</x:f>
      </x:c>
      <x:c r="AE28" s="38" t="str">
        <x:f>AB28</x:f>
      </x:c>
      <x:c r="AF28" s="38" t="str">
        <x:f>Z28</x:f>
      </x:c>
      <x:c r="AG28" s="38" t="str">
        <x:f>IF(T28="","",IF(Teams!E28&lt;&gt;"Active","Team not active",""))</x:f>
      </x:c>
      <x:c r="AH28" s="38" t="str">
        <x:f>IF(R28="","",COUNTIF($R$5:$R$36,"&lt;"&amp;R28)*100000+S28*1000+COUNTIFS($R$5:$R$36,R28,$S$5:$S$36,S28,$U$5:$U$36,"&lt;="&amp;U28))</x:f>
      </x:c>
    </x:row>
    <x:row r="29" ht="15" hidden="0" customHeight="1">
      <x:c r="A29" s="48" t="str">
        <x:f>IF($Q29="","",INDEX($R$5:$AG$36,MATCH($Q29,$AH$5:$AH$36,0),1))</x:f>
      </x:c>
      <x:c r="B29" s="38" t="str">
        <x:f>IF($Q29="","",INDEX($R$5:$AG$36,MATCH($Q29,$AH$5:$AH$36,0),2))</x:f>
      </x:c>
      <x:c r="C29" s="38" t="str">
        <x:f>IF($Q29="","",INDEX($R$5:$AG$36,MATCH($Q29,$AH$5:$AH$36,0),3))</x:f>
      </x:c>
      <x:c r="D29" s="38" t="str">
        <x:f>IF($Q29="","",INDEX($R$5:$AG$36,MATCH($Q29,$AH$5:$AH$36,0),4))</x:f>
      </x:c>
      <x:c r="E29" s="38" t="str">
        <x:f>IF($Q29="","",INDEX($R$5:$AG$36,MATCH($Q29,$AH$5:$AH$36,0),5))</x:f>
      </x:c>
      <x:c r="F29" s="38" t="str">
        <x:f>IF($Q29="","",INDEX($R$5:$AG$36,MATCH($Q29,$AH$5:$AH$36,0),6))</x:f>
      </x:c>
      <x:c r="G29" s="38" t="str">
        <x:f>IF($Q29="","",INDEX($R$5:$AG$36,MATCH($Q29,$AH$5:$AH$36,0),7))</x:f>
      </x:c>
      <x:c r="H29" s="38" t="str">
        <x:f>IF($Q29="","",INDEX($R$5:$AG$36,MATCH($Q29,$AH$5:$AH$36,0),8))</x:f>
      </x:c>
      <x:c r="I29" s="38" t="str">
        <x:f>IF($Q29="","",INDEX($R$5:$AG$36,MATCH($Q29,$AH$5:$AH$36,0),9))</x:f>
      </x:c>
      <x:c r="J29" s="38" t="str">
        <x:f>IF($Q29="","",INDEX($R$5:$AG$36,MATCH($Q29,$AH$5:$AH$36,0),10))</x:f>
      </x:c>
      <x:c r="K29" s="38" t="str">
        <x:f>IF($Q29="","",INDEX($R$5:$AG$36,MATCH($Q29,$AH$5:$AH$36,0),11))</x:f>
      </x:c>
      <x:c r="L29" s="38" t="str">
        <x:f>IF($Q29="","",INDEX($R$5:$AG$36,MATCH($Q29,$AH$5:$AH$36,0),12))</x:f>
      </x:c>
      <x:c r="M29" s="38" t="str">
        <x:f>IF($Q29="","",INDEX($R$5:$AG$36,MATCH($Q29,$AH$5:$AH$36,0),13))</x:f>
      </x:c>
      <x:c r="N29" s="38" t="str">
        <x:f>IF($Q29="","",INDEX($R$5:$AG$36,MATCH($Q29,$AH$5:$AH$36,0),14))</x:f>
      </x:c>
      <x:c r="O29" s="38" t="str">
        <x:f>IF($Q29="","",INDEX($R$5:$AG$36,MATCH($Q29,$AH$5:$AH$36,0),15))</x:f>
      </x:c>
      <x:c r="P29" s="49" t="str">
        <x:f>IF($Q29="","",INDEX($R$5:$AG$36,MATCH($Q29,$AH$5:$AH$36,0),16))</x:f>
      </x:c>
      <x:c r="Q29" s="38" t="str">
        <x:f>IFERROR(SMALL($AH$5:$AH$36,ROWS($Q$5:Q29)),"")</x:f>
      </x:c>
      <x:c r="R29" s="38" t="str">
        <x:f>IF(Teams!A29="","",Teams!D29)</x:f>
      </x:c>
      <x:c r="S29" s="38" t="str">
        <x:f>IF(T29="","",1+COUNTIFS($R$5:$R$36,R29,$AC$5:$AC$36,"&gt;"&amp;AC29)+COUNTIFS($R$5:$R$36,R29,$AC$5:$AC$36,AC29,$AB$5:$AB$36,"&gt;"&amp;AB29)+COUNTIFS($R$5:$R$36,R29,$AC$5:$AC$36,AC29,$AB$5:$AB$36,AB29,$Z$5:$Z$36,"&gt;"&amp;Z29))</x:f>
      </x:c>
      <x:c r="T29" s="38" t="n">
        <x:f>Teams!A29</x:f>
        <x:v>0</x:v>
      </x:c>
      <x:c r="U29" s="38" t="n">
        <x:f>Teams!C29</x:f>
        <x:v>0</x:v>
      </x:c>
      <x:c r="V29" s="38" t="str">
        <x:f>IF(T29="","",SUMPRODUCT(('Official Results'!$K$5:$K$204="Yes")*(('Official Results'!$C$5:$C$204=T29)+('Official Results'!$E$5:$E$204=T29))))</x:f>
      </x:c>
      <x:c r="W29" s="38" t="str">
        <x:f>IF(T29="","",SUMPRODUCT(('Official Results'!$K$5:$K$204="Yes")*('Official Results'!$C$5:$C$204=T29)*('Official Results'!$G$5:$G$204&gt;'Official Results'!$H$5:$H$204))+SUMPRODUCT(('Official Results'!$K$5:$K$204="Yes")*('Official Results'!$E$5:$E$204=T29)*('Official Results'!$H$5:$H$204&gt;'Official Results'!$G$5:$G$204)))</x:f>
      </x:c>
      <x:c r="X29" s="38" t="str">
        <x:f>IF(T29="","",SUMPRODUCT(('Official Results'!$K$5:$K$204="Yes")*(('Official Results'!$C$5:$C$204=T29)+('Official Results'!$E$5:$E$204=T29))*('Official Results'!$G$5:$G$204='Official Results'!$H$5:$H$204)))</x:f>
      </x:c>
      <x:c r="Y29" s="38" t="str">
        <x:f>IF(T29="","",V29-W29-X29)</x:f>
      </x:c>
      <x:c r="Z29" s="38" t="str">
        <x:f>IF(T29="","",SUMPRODUCT(('Official Results'!$K$5:$K$204="Yes")*('Official Results'!$C$5:$C$204=T29)*'Official Results'!$G$5:$G$204)+SUMPRODUCT(('Official Results'!$K$5:$K$204="Yes")*('Official Results'!$E$5:$E$204=T29)*'Official Results'!$H$5:$H$204))</x:f>
      </x:c>
      <x:c r="AA29" s="38" t="str">
        <x:f>IF(T29="","",SUMPRODUCT(('Official Results'!$K$5:$K$204="Yes")*('Official Results'!$C$5:$C$204=T29)*'Official Results'!$H$5:$H$204)+SUMPRODUCT(('Official Results'!$K$5:$K$204="Yes")*('Official Results'!$E$5:$E$204=T29)*'Official Results'!$G$5:$G$204))</x:f>
      </x:c>
      <x:c r="AB29" s="38" t="str">
        <x:f>IF(T29="","",Z29-AA29)</x:f>
      </x:c>
      <x:c r="AC29" s="38" t="str">
        <x:f>IF(T29="","",W29*Rules!$C$5+X29*Rules!$C$6+Y29*Rules!$C$7)</x:f>
      </x:c>
      <x:c r="AD29" s="38" t="str">
        <x:f>AC29</x:f>
      </x:c>
      <x:c r="AE29" s="38" t="str">
        <x:f>AB29</x:f>
      </x:c>
      <x:c r="AF29" s="38" t="str">
        <x:f>Z29</x:f>
      </x:c>
      <x:c r="AG29" s="38" t="str">
        <x:f>IF(T29="","",IF(Teams!E29&lt;&gt;"Active","Team not active",""))</x:f>
      </x:c>
      <x:c r="AH29" s="38" t="str">
        <x:f>IF(R29="","",COUNTIF($R$5:$R$36,"&lt;"&amp;R29)*100000+S29*1000+COUNTIFS($R$5:$R$36,R29,$S$5:$S$36,S29,$U$5:$U$36,"&lt;="&amp;U29))</x:f>
      </x:c>
    </x:row>
    <x:row r="30" ht="15" hidden="0" customHeight="1">
      <x:c r="A30" s="48" t="str">
        <x:f>IF($Q30="","",INDEX($R$5:$AG$36,MATCH($Q30,$AH$5:$AH$36,0),1))</x:f>
      </x:c>
      <x:c r="B30" s="38" t="str">
        <x:f>IF($Q30="","",INDEX($R$5:$AG$36,MATCH($Q30,$AH$5:$AH$36,0),2))</x:f>
      </x:c>
      <x:c r="C30" s="38" t="str">
        <x:f>IF($Q30="","",INDEX($R$5:$AG$36,MATCH($Q30,$AH$5:$AH$36,0),3))</x:f>
      </x:c>
      <x:c r="D30" s="38" t="str">
        <x:f>IF($Q30="","",INDEX($R$5:$AG$36,MATCH($Q30,$AH$5:$AH$36,0),4))</x:f>
      </x:c>
      <x:c r="E30" s="38" t="str">
        <x:f>IF($Q30="","",INDEX($R$5:$AG$36,MATCH($Q30,$AH$5:$AH$36,0),5))</x:f>
      </x:c>
      <x:c r="F30" s="38" t="str">
        <x:f>IF($Q30="","",INDEX($R$5:$AG$36,MATCH($Q30,$AH$5:$AH$36,0),6))</x:f>
      </x:c>
      <x:c r="G30" s="38" t="str">
        <x:f>IF($Q30="","",INDEX($R$5:$AG$36,MATCH($Q30,$AH$5:$AH$36,0),7))</x:f>
      </x:c>
      <x:c r="H30" s="38" t="str">
        <x:f>IF($Q30="","",INDEX($R$5:$AG$36,MATCH($Q30,$AH$5:$AH$36,0),8))</x:f>
      </x:c>
      <x:c r="I30" s="38" t="str">
        <x:f>IF($Q30="","",INDEX($R$5:$AG$36,MATCH($Q30,$AH$5:$AH$36,0),9))</x:f>
      </x:c>
      <x:c r="J30" s="38" t="str">
        <x:f>IF($Q30="","",INDEX($R$5:$AG$36,MATCH($Q30,$AH$5:$AH$36,0),10))</x:f>
      </x:c>
      <x:c r="K30" s="38" t="str">
        <x:f>IF($Q30="","",INDEX($R$5:$AG$36,MATCH($Q30,$AH$5:$AH$36,0),11))</x:f>
      </x:c>
      <x:c r="L30" s="38" t="str">
        <x:f>IF($Q30="","",INDEX($R$5:$AG$36,MATCH($Q30,$AH$5:$AH$36,0),12))</x:f>
      </x:c>
      <x:c r="M30" s="38" t="str">
        <x:f>IF($Q30="","",INDEX($R$5:$AG$36,MATCH($Q30,$AH$5:$AH$36,0),13))</x:f>
      </x:c>
      <x:c r="N30" s="38" t="str">
        <x:f>IF($Q30="","",INDEX($R$5:$AG$36,MATCH($Q30,$AH$5:$AH$36,0),14))</x:f>
      </x:c>
      <x:c r="O30" s="38" t="str">
        <x:f>IF($Q30="","",INDEX($R$5:$AG$36,MATCH($Q30,$AH$5:$AH$36,0),15))</x:f>
      </x:c>
      <x:c r="P30" s="49" t="str">
        <x:f>IF($Q30="","",INDEX($R$5:$AG$36,MATCH($Q30,$AH$5:$AH$36,0),16))</x:f>
      </x:c>
      <x:c r="Q30" s="38" t="str">
        <x:f>IFERROR(SMALL($AH$5:$AH$36,ROWS($Q$5:Q30)),"")</x:f>
      </x:c>
      <x:c r="R30" s="38" t="str">
        <x:f>IF(Teams!A30="","",Teams!D30)</x:f>
      </x:c>
      <x:c r="S30" s="38" t="str">
        <x:f>IF(T30="","",1+COUNTIFS($R$5:$R$36,R30,$AC$5:$AC$36,"&gt;"&amp;AC30)+COUNTIFS($R$5:$R$36,R30,$AC$5:$AC$36,AC30,$AB$5:$AB$36,"&gt;"&amp;AB30)+COUNTIFS($R$5:$R$36,R30,$AC$5:$AC$36,AC30,$AB$5:$AB$36,AB30,$Z$5:$Z$36,"&gt;"&amp;Z30))</x:f>
      </x:c>
      <x:c r="T30" s="38" t="n">
        <x:f>Teams!A30</x:f>
        <x:v>0</x:v>
      </x:c>
      <x:c r="U30" s="38" t="n">
        <x:f>Teams!C30</x:f>
        <x:v>0</x:v>
      </x:c>
      <x:c r="V30" s="38" t="str">
        <x:f>IF(T30="","",SUMPRODUCT(('Official Results'!$K$5:$K$204="Yes")*(('Official Results'!$C$5:$C$204=T30)+('Official Results'!$E$5:$E$204=T30))))</x:f>
      </x:c>
      <x:c r="W30" s="38" t="str">
        <x:f>IF(T30="","",SUMPRODUCT(('Official Results'!$K$5:$K$204="Yes")*('Official Results'!$C$5:$C$204=T30)*('Official Results'!$G$5:$G$204&gt;'Official Results'!$H$5:$H$204))+SUMPRODUCT(('Official Results'!$K$5:$K$204="Yes")*('Official Results'!$E$5:$E$204=T30)*('Official Results'!$H$5:$H$204&gt;'Official Results'!$G$5:$G$204)))</x:f>
      </x:c>
      <x:c r="X30" s="38" t="str">
        <x:f>IF(T30="","",SUMPRODUCT(('Official Results'!$K$5:$K$204="Yes")*(('Official Results'!$C$5:$C$204=T30)+('Official Results'!$E$5:$E$204=T30))*('Official Results'!$G$5:$G$204='Official Results'!$H$5:$H$204)))</x:f>
      </x:c>
      <x:c r="Y30" s="38" t="str">
        <x:f>IF(T30="","",V30-W30-X30)</x:f>
      </x:c>
      <x:c r="Z30" s="38" t="str">
        <x:f>IF(T30="","",SUMPRODUCT(('Official Results'!$K$5:$K$204="Yes")*('Official Results'!$C$5:$C$204=T30)*'Official Results'!$G$5:$G$204)+SUMPRODUCT(('Official Results'!$K$5:$K$204="Yes")*('Official Results'!$E$5:$E$204=T30)*'Official Results'!$H$5:$H$204))</x:f>
      </x:c>
      <x:c r="AA30" s="38" t="str">
        <x:f>IF(T30="","",SUMPRODUCT(('Official Results'!$K$5:$K$204="Yes")*('Official Results'!$C$5:$C$204=T30)*'Official Results'!$H$5:$H$204)+SUMPRODUCT(('Official Results'!$K$5:$K$204="Yes")*('Official Results'!$E$5:$E$204=T30)*'Official Results'!$G$5:$G$204))</x:f>
      </x:c>
      <x:c r="AB30" s="38" t="str">
        <x:f>IF(T30="","",Z30-AA30)</x:f>
      </x:c>
      <x:c r="AC30" s="38" t="str">
        <x:f>IF(T30="","",W30*Rules!$C$5+X30*Rules!$C$6+Y30*Rules!$C$7)</x:f>
      </x:c>
      <x:c r="AD30" s="38" t="str">
        <x:f>AC30</x:f>
      </x:c>
      <x:c r="AE30" s="38" t="str">
        <x:f>AB30</x:f>
      </x:c>
      <x:c r="AF30" s="38" t="str">
        <x:f>Z30</x:f>
      </x:c>
      <x:c r="AG30" s="38" t="str">
        <x:f>IF(T30="","",IF(Teams!E30&lt;&gt;"Active","Team not active",""))</x:f>
      </x:c>
      <x:c r="AH30" s="38" t="str">
        <x:f>IF(R30="","",COUNTIF($R$5:$R$36,"&lt;"&amp;R30)*100000+S30*1000+COUNTIFS($R$5:$R$36,R30,$S$5:$S$36,S30,$U$5:$U$36,"&lt;="&amp;U30))</x:f>
      </x:c>
    </x:row>
    <x:row r="31" ht="15" hidden="0" customHeight="1">
      <x:c r="A31" s="48" t="str">
        <x:f>IF($Q31="","",INDEX($R$5:$AG$36,MATCH($Q31,$AH$5:$AH$36,0),1))</x:f>
      </x:c>
      <x:c r="B31" s="38" t="str">
        <x:f>IF($Q31="","",INDEX($R$5:$AG$36,MATCH($Q31,$AH$5:$AH$36,0),2))</x:f>
      </x:c>
      <x:c r="C31" s="38" t="str">
        <x:f>IF($Q31="","",INDEX($R$5:$AG$36,MATCH($Q31,$AH$5:$AH$36,0),3))</x:f>
      </x:c>
      <x:c r="D31" s="38" t="str">
        <x:f>IF($Q31="","",INDEX($R$5:$AG$36,MATCH($Q31,$AH$5:$AH$36,0),4))</x:f>
      </x:c>
      <x:c r="E31" s="38" t="str">
        <x:f>IF($Q31="","",INDEX($R$5:$AG$36,MATCH($Q31,$AH$5:$AH$36,0),5))</x:f>
      </x:c>
      <x:c r="F31" s="38" t="str">
        <x:f>IF($Q31="","",INDEX($R$5:$AG$36,MATCH($Q31,$AH$5:$AH$36,0),6))</x:f>
      </x:c>
      <x:c r="G31" s="38" t="str">
        <x:f>IF($Q31="","",INDEX($R$5:$AG$36,MATCH($Q31,$AH$5:$AH$36,0),7))</x:f>
      </x:c>
      <x:c r="H31" s="38" t="str">
        <x:f>IF($Q31="","",INDEX($R$5:$AG$36,MATCH($Q31,$AH$5:$AH$36,0),8))</x:f>
      </x:c>
      <x:c r="I31" s="38" t="str">
        <x:f>IF($Q31="","",INDEX($R$5:$AG$36,MATCH($Q31,$AH$5:$AH$36,0),9))</x:f>
      </x:c>
      <x:c r="J31" s="38" t="str">
        <x:f>IF($Q31="","",INDEX($R$5:$AG$36,MATCH($Q31,$AH$5:$AH$36,0),10))</x:f>
      </x:c>
      <x:c r="K31" s="38" t="str">
        <x:f>IF($Q31="","",INDEX($R$5:$AG$36,MATCH($Q31,$AH$5:$AH$36,0),11))</x:f>
      </x:c>
      <x:c r="L31" s="38" t="str">
        <x:f>IF($Q31="","",INDEX($R$5:$AG$36,MATCH($Q31,$AH$5:$AH$36,0),12))</x:f>
      </x:c>
      <x:c r="M31" s="38" t="str">
        <x:f>IF($Q31="","",INDEX($R$5:$AG$36,MATCH($Q31,$AH$5:$AH$36,0),13))</x:f>
      </x:c>
      <x:c r="N31" s="38" t="str">
        <x:f>IF($Q31="","",INDEX($R$5:$AG$36,MATCH($Q31,$AH$5:$AH$36,0),14))</x:f>
      </x:c>
      <x:c r="O31" s="38" t="str">
        <x:f>IF($Q31="","",INDEX($R$5:$AG$36,MATCH($Q31,$AH$5:$AH$36,0),15))</x:f>
      </x:c>
      <x:c r="P31" s="49" t="str">
        <x:f>IF($Q31="","",INDEX($R$5:$AG$36,MATCH($Q31,$AH$5:$AH$36,0),16))</x:f>
      </x:c>
      <x:c r="Q31" s="38" t="str">
        <x:f>IFERROR(SMALL($AH$5:$AH$36,ROWS($Q$5:Q31)),"")</x:f>
      </x:c>
      <x:c r="R31" s="38" t="str">
        <x:f>IF(Teams!A31="","",Teams!D31)</x:f>
      </x:c>
      <x:c r="S31" s="38" t="str">
        <x:f>IF(T31="","",1+COUNTIFS($R$5:$R$36,R31,$AC$5:$AC$36,"&gt;"&amp;AC31)+COUNTIFS($R$5:$R$36,R31,$AC$5:$AC$36,AC31,$AB$5:$AB$36,"&gt;"&amp;AB31)+COUNTIFS($R$5:$R$36,R31,$AC$5:$AC$36,AC31,$AB$5:$AB$36,AB31,$Z$5:$Z$36,"&gt;"&amp;Z31))</x:f>
      </x:c>
      <x:c r="T31" s="38" t="n">
        <x:f>Teams!A31</x:f>
        <x:v>0</x:v>
      </x:c>
      <x:c r="U31" s="38" t="n">
        <x:f>Teams!C31</x:f>
        <x:v>0</x:v>
      </x:c>
      <x:c r="V31" s="38" t="str">
        <x:f>IF(T31="","",SUMPRODUCT(('Official Results'!$K$5:$K$204="Yes")*(('Official Results'!$C$5:$C$204=T31)+('Official Results'!$E$5:$E$204=T31))))</x:f>
      </x:c>
      <x:c r="W31" s="38" t="str">
        <x:f>IF(T31="","",SUMPRODUCT(('Official Results'!$K$5:$K$204="Yes")*('Official Results'!$C$5:$C$204=T31)*('Official Results'!$G$5:$G$204&gt;'Official Results'!$H$5:$H$204))+SUMPRODUCT(('Official Results'!$K$5:$K$204="Yes")*('Official Results'!$E$5:$E$204=T31)*('Official Results'!$H$5:$H$204&gt;'Official Results'!$G$5:$G$204)))</x:f>
      </x:c>
      <x:c r="X31" s="38" t="str">
        <x:f>IF(T31="","",SUMPRODUCT(('Official Results'!$K$5:$K$204="Yes")*(('Official Results'!$C$5:$C$204=T31)+('Official Results'!$E$5:$E$204=T31))*('Official Results'!$G$5:$G$204='Official Results'!$H$5:$H$204)))</x:f>
      </x:c>
      <x:c r="Y31" s="38" t="str">
        <x:f>IF(T31="","",V31-W31-X31)</x:f>
      </x:c>
      <x:c r="Z31" s="38" t="str">
        <x:f>IF(T31="","",SUMPRODUCT(('Official Results'!$K$5:$K$204="Yes")*('Official Results'!$C$5:$C$204=T31)*'Official Results'!$G$5:$G$204)+SUMPRODUCT(('Official Results'!$K$5:$K$204="Yes")*('Official Results'!$E$5:$E$204=T31)*'Official Results'!$H$5:$H$204))</x:f>
      </x:c>
      <x:c r="AA31" s="38" t="str">
        <x:f>IF(T31="","",SUMPRODUCT(('Official Results'!$K$5:$K$204="Yes")*('Official Results'!$C$5:$C$204=T31)*'Official Results'!$H$5:$H$204)+SUMPRODUCT(('Official Results'!$K$5:$K$204="Yes")*('Official Results'!$E$5:$E$204=T31)*'Official Results'!$G$5:$G$204))</x:f>
      </x:c>
      <x:c r="AB31" s="38" t="str">
        <x:f>IF(T31="","",Z31-AA31)</x:f>
      </x:c>
      <x:c r="AC31" s="38" t="str">
        <x:f>IF(T31="","",W31*Rules!$C$5+X31*Rules!$C$6+Y31*Rules!$C$7)</x:f>
      </x:c>
      <x:c r="AD31" s="38" t="str">
        <x:f>AC31</x:f>
      </x:c>
      <x:c r="AE31" s="38" t="str">
        <x:f>AB31</x:f>
      </x:c>
      <x:c r="AF31" s="38" t="str">
        <x:f>Z31</x:f>
      </x:c>
      <x:c r="AG31" s="38" t="str">
        <x:f>IF(T31="","",IF(Teams!E31&lt;&gt;"Active","Team not active",""))</x:f>
      </x:c>
      <x:c r="AH31" s="38" t="str">
        <x:f>IF(R31="","",COUNTIF($R$5:$R$36,"&lt;"&amp;R31)*100000+S31*1000+COUNTIFS($R$5:$R$36,R31,$S$5:$S$36,S31,$U$5:$U$36,"&lt;="&amp;U31))</x:f>
      </x:c>
    </x:row>
    <x:row r="32" ht="15" hidden="0" customHeight="1">
      <x:c r="A32" s="48" t="str">
        <x:f>IF($Q32="","",INDEX($R$5:$AG$36,MATCH($Q32,$AH$5:$AH$36,0),1))</x:f>
      </x:c>
      <x:c r="B32" s="38" t="str">
        <x:f>IF($Q32="","",INDEX($R$5:$AG$36,MATCH($Q32,$AH$5:$AH$36,0),2))</x:f>
      </x:c>
      <x:c r="C32" s="38" t="str">
        <x:f>IF($Q32="","",INDEX($R$5:$AG$36,MATCH($Q32,$AH$5:$AH$36,0),3))</x:f>
      </x:c>
      <x:c r="D32" s="38" t="str">
        <x:f>IF($Q32="","",INDEX($R$5:$AG$36,MATCH($Q32,$AH$5:$AH$36,0),4))</x:f>
      </x:c>
      <x:c r="E32" s="38" t="str">
        <x:f>IF($Q32="","",INDEX($R$5:$AG$36,MATCH($Q32,$AH$5:$AH$36,0),5))</x:f>
      </x:c>
      <x:c r="F32" s="38" t="str">
        <x:f>IF($Q32="","",INDEX($R$5:$AG$36,MATCH($Q32,$AH$5:$AH$36,0),6))</x:f>
      </x:c>
      <x:c r="G32" s="38" t="str">
        <x:f>IF($Q32="","",INDEX($R$5:$AG$36,MATCH($Q32,$AH$5:$AH$36,0),7))</x:f>
      </x:c>
      <x:c r="H32" s="38" t="str">
        <x:f>IF($Q32="","",INDEX($R$5:$AG$36,MATCH($Q32,$AH$5:$AH$36,0),8))</x:f>
      </x:c>
      <x:c r="I32" s="38" t="str">
        <x:f>IF($Q32="","",INDEX($R$5:$AG$36,MATCH($Q32,$AH$5:$AH$36,0),9))</x:f>
      </x:c>
      <x:c r="J32" s="38" t="str">
        <x:f>IF($Q32="","",INDEX($R$5:$AG$36,MATCH($Q32,$AH$5:$AH$36,0),10))</x:f>
      </x:c>
      <x:c r="K32" s="38" t="str">
        <x:f>IF($Q32="","",INDEX($R$5:$AG$36,MATCH($Q32,$AH$5:$AH$36,0),11))</x:f>
      </x:c>
      <x:c r="L32" s="38" t="str">
        <x:f>IF($Q32="","",INDEX($R$5:$AG$36,MATCH($Q32,$AH$5:$AH$36,0),12))</x:f>
      </x:c>
      <x:c r="M32" s="38" t="str">
        <x:f>IF($Q32="","",INDEX($R$5:$AG$36,MATCH($Q32,$AH$5:$AH$36,0),13))</x:f>
      </x:c>
      <x:c r="N32" s="38" t="str">
        <x:f>IF($Q32="","",INDEX($R$5:$AG$36,MATCH($Q32,$AH$5:$AH$36,0),14))</x:f>
      </x:c>
      <x:c r="O32" s="38" t="str">
        <x:f>IF($Q32="","",INDEX($R$5:$AG$36,MATCH($Q32,$AH$5:$AH$36,0),15))</x:f>
      </x:c>
      <x:c r="P32" s="49" t="str">
        <x:f>IF($Q32="","",INDEX($R$5:$AG$36,MATCH($Q32,$AH$5:$AH$36,0),16))</x:f>
      </x:c>
      <x:c r="Q32" s="38" t="str">
        <x:f>IFERROR(SMALL($AH$5:$AH$36,ROWS($Q$5:Q32)),"")</x:f>
      </x:c>
      <x:c r="R32" s="38" t="str">
        <x:f>IF(Teams!A32="","",Teams!D32)</x:f>
      </x:c>
      <x:c r="S32" s="38" t="str">
        <x:f>IF(T32="","",1+COUNTIFS($R$5:$R$36,R32,$AC$5:$AC$36,"&gt;"&amp;AC32)+COUNTIFS($R$5:$R$36,R32,$AC$5:$AC$36,AC32,$AB$5:$AB$36,"&gt;"&amp;AB32)+COUNTIFS($R$5:$R$36,R32,$AC$5:$AC$36,AC32,$AB$5:$AB$36,AB32,$Z$5:$Z$36,"&gt;"&amp;Z32))</x:f>
      </x:c>
      <x:c r="T32" s="38" t="n">
        <x:f>Teams!A32</x:f>
        <x:v>0</x:v>
      </x:c>
      <x:c r="U32" s="38" t="n">
        <x:f>Teams!C32</x:f>
        <x:v>0</x:v>
      </x:c>
      <x:c r="V32" s="38" t="str">
        <x:f>IF(T32="","",SUMPRODUCT(('Official Results'!$K$5:$K$204="Yes")*(('Official Results'!$C$5:$C$204=T32)+('Official Results'!$E$5:$E$204=T32))))</x:f>
      </x:c>
      <x:c r="W32" s="38" t="str">
        <x:f>IF(T32="","",SUMPRODUCT(('Official Results'!$K$5:$K$204="Yes")*('Official Results'!$C$5:$C$204=T32)*('Official Results'!$G$5:$G$204&gt;'Official Results'!$H$5:$H$204))+SUMPRODUCT(('Official Results'!$K$5:$K$204="Yes")*('Official Results'!$E$5:$E$204=T32)*('Official Results'!$H$5:$H$204&gt;'Official Results'!$G$5:$G$204)))</x:f>
      </x:c>
      <x:c r="X32" s="38" t="str">
        <x:f>IF(T32="","",SUMPRODUCT(('Official Results'!$K$5:$K$204="Yes")*(('Official Results'!$C$5:$C$204=T32)+('Official Results'!$E$5:$E$204=T32))*('Official Results'!$G$5:$G$204='Official Results'!$H$5:$H$204)))</x:f>
      </x:c>
      <x:c r="Y32" s="38" t="str">
        <x:f>IF(T32="","",V32-W32-X32)</x:f>
      </x:c>
      <x:c r="Z32" s="38" t="str">
        <x:f>IF(T32="","",SUMPRODUCT(('Official Results'!$K$5:$K$204="Yes")*('Official Results'!$C$5:$C$204=T32)*'Official Results'!$G$5:$G$204)+SUMPRODUCT(('Official Results'!$K$5:$K$204="Yes")*('Official Results'!$E$5:$E$204=T32)*'Official Results'!$H$5:$H$204))</x:f>
      </x:c>
      <x:c r="AA32" s="38" t="str">
        <x:f>IF(T32="","",SUMPRODUCT(('Official Results'!$K$5:$K$204="Yes")*('Official Results'!$C$5:$C$204=T32)*'Official Results'!$H$5:$H$204)+SUMPRODUCT(('Official Results'!$K$5:$K$204="Yes")*('Official Results'!$E$5:$E$204=T32)*'Official Results'!$G$5:$G$204))</x:f>
      </x:c>
      <x:c r="AB32" s="38" t="str">
        <x:f>IF(T32="","",Z32-AA32)</x:f>
      </x:c>
      <x:c r="AC32" s="38" t="str">
        <x:f>IF(T32="","",W32*Rules!$C$5+X32*Rules!$C$6+Y32*Rules!$C$7)</x:f>
      </x:c>
      <x:c r="AD32" s="38" t="str">
        <x:f>AC32</x:f>
      </x:c>
      <x:c r="AE32" s="38" t="str">
        <x:f>AB32</x:f>
      </x:c>
      <x:c r="AF32" s="38" t="str">
        <x:f>Z32</x:f>
      </x:c>
      <x:c r="AG32" s="38" t="str">
        <x:f>IF(T32="","",IF(Teams!E32&lt;&gt;"Active","Team not active",""))</x:f>
      </x:c>
      <x:c r="AH32" s="38" t="str">
        <x:f>IF(R32="","",COUNTIF($R$5:$R$36,"&lt;"&amp;R32)*100000+S32*1000+COUNTIFS($R$5:$R$36,R32,$S$5:$S$36,S32,$U$5:$U$36,"&lt;="&amp;U32))</x:f>
      </x:c>
    </x:row>
    <x:row r="33" ht="15" hidden="0" customHeight="1">
      <x:c r="A33" s="48" t="str">
        <x:f>IF($Q33="","",INDEX($R$5:$AG$36,MATCH($Q33,$AH$5:$AH$36,0),1))</x:f>
      </x:c>
      <x:c r="B33" s="38" t="str">
        <x:f>IF($Q33="","",INDEX($R$5:$AG$36,MATCH($Q33,$AH$5:$AH$36,0),2))</x:f>
      </x:c>
      <x:c r="C33" s="38" t="str">
        <x:f>IF($Q33="","",INDEX($R$5:$AG$36,MATCH($Q33,$AH$5:$AH$36,0),3))</x:f>
      </x:c>
      <x:c r="D33" s="38" t="str">
        <x:f>IF($Q33="","",INDEX($R$5:$AG$36,MATCH($Q33,$AH$5:$AH$36,0),4))</x:f>
      </x:c>
      <x:c r="E33" s="38" t="str">
        <x:f>IF($Q33="","",INDEX($R$5:$AG$36,MATCH($Q33,$AH$5:$AH$36,0),5))</x:f>
      </x:c>
      <x:c r="F33" s="38" t="str">
        <x:f>IF($Q33="","",INDEX($R$5:$AG$36,MATCH($Q33,$AH$5:$AH$36,0),6))</x:f>
      </x:c>
      <x:c r="G33" s="38" t="str">
        <x:f>IF($Q33="","",INDEX($R$5:$AG$36,MATCH($Q33,$AH$5:$AH$36,0),7))</x:f>
      </x:c>
      <x:c r="H33" s="38" t="str">
        <x:f>IF($Q33="","",INDEX($R$5:$AG$36,MATCH($Q33,$AH$5:$AH$36,0),8))</x:f>
      </x:c>
      <x:c r="I33" s="38" t="str">
        <x:f>IF($Q33="","",INDEX($R$5:$AG$36,MATCH($Q33,$AH$5:$AH$36,0),9))</x:f>
      </x:c>
      <x:c r="J33" s="38" t="str">
        <x:f>IF($Q33="","",INDEX($R$5:$AG$36,MATCH($Q33,$AH$5:$AH$36,0),10))</x:f>
      </x:c>
      <x:c r="K33" s="38" t="str">
        <x:f>IF($Q33="","",INDEX($R$5:$AG$36,MATCH($Q33,$AH$5:$AH$36,0),11))</x:f>
      </x:c>
      <x:c r="L33" s="38" t="str">
        <x:f>IF($Q33="","",INDEX($R$5:$AG$36,MATCH($Q33,$AH$5:$AH$36,0),12))</x:f>
      </x:c>
      <x:c r="M33" s="38" t="str">
        <x:f>IF($Q33="","",INDEX($R$5:$AG$36,MATCH($Q33,$AH$5:$AH$36,0),13))</x:f>
      </x:c>
      <x:c r="N33" s="38" t="str">
        <x:f>IF($Q33="","",INDEX($R$5:$AG$36,MATCH($Q33,$AH$5:$AH$36,0),14))</x:f>
      </x:c>
      <x:c r="O33" s="38" t="str">
        <x:f>IF($Q33="","",INDEX($R$5:$AG$36,MATCH($Q33,$AH$5:$AH$36,0),15))</x:f>
      </x:c>
      <x:c r="P33" s="49" t="str">
        <x:f>IF($Q33="","",INDEX($R$5:$AG$36,MATCH($Q33,$AH$5:$AH$36,0),16))</x:f>
      </x:c>
      <x:c r="Q33" s="38" t="str">
        <x:f>IFERROR(SMALL($AH$5:$AH$36,ROWS($Q$5:Q33)),"")</x:f>
      </x:c>
      <x:c r="R33" s="38" t="str">
        <x:f>IF(Teams!A33="","",Teams!D33)</x:f>
      </x:c>
      <x:c r="S33" s="38" t="str">
        <x:f>IF(T33="","",1+COUNTIFS($R$5:$R$36,R33,$AC$5:$AC$36,"&gt;"&amp;AC33)+COUNTIFS($R$5:$R$36,R33,$AC$5:$AC$36,AC33,$AB$5:$AB$36,"&gt;"&amp;AB33)+COUNTIFS($R$5:$R$36,R33,$AC$5:$AC$36,AC33,$AB$5:$AB$36,AB33,$Z$5:$Z$36,"&gt;"&amp;Z33))</x:f>
      </x:c>
      <x:c r="T33" s="38" t="n">
        <x:f>Teams!A33</x:f>
        <x:v>0</x:v>
      </x:c>
      <x:c r="U33" s="38" t="n">
        <x:f>Teams!C33</x:f>
        <x:v>0</x:v>
      </x:c>
      <x:c r="V33" s="38" t="str">
        <x:f>IF(T33="","",SUMPRODUCT(('Official Results'!$K$5:$K$204="Yes")*(('Official Results'!$C$5:$C$204=T33)+('Official Results'!$E$5:$E$204=T33))))</x:f>
      </x:c>
      <x:c r="W33" s="38" t="str">
        <x:f>IF(T33="","",SUMPRODUCT(('Official Results'!$K$5:$K$204="Yes")*('Official Results'!$C$5:$C$204=T33)*('Official Results'!$G$5:$G$204&gt;'Official Results'!$H$5:$H$204))+SUMPRODUCT(('Official Results'!$K$5:$K$204="Yes")*('Official Results'!$E$5:$E$204=T33)*('Official Results'!$H$5:$H$204&gt;'Official Results'!$G$5:$G$204)))</x:f>
      </x:c>
      <x:c r="X33" s="38" t="str">
        <x:f>IF(T33="","",SUMPRODUCT(('Official Results'!$K$5:$K$204="Yes")*(('Official Results'!$C$5:$C$204=T33)+('Official Results'!$E$5:$E$204=T33))*('Official Results'!$G$5:$G$204='Official Results'!$H$5:$H$204)))</x:f>
      </x:c>
      <x:c r="Y33" s="38" t="str">
        <x:f>IF(T33="","",V33-W33-X33)</x:f>
      </x:c>
      <x:c r="Z33" s="38" t="str">
        <x:f>IF(T33="","",SUMPRODUCT(('Official Results'!$K$5:$K$204="Yes")*('Official Results'!$C$5:$C$204=T33)*'Official Results'!$G$5:$G$204)+SUMPRODUCT(('Official Results'!$K$5:$K$204="Yes")*('Official Results'!$E$5:$E$204=T33)*'Official Results'!$H$5:$H$204))</x:f>
      </x:c>
      <x:c r="AA33" s="38" t="str">
        <x:f>IF(T33="","",SUMPRODUCT(('Official Results'!$K$5:$K$204="Yes")*('Official Results'!$C$5:$C$204=T33)*'Official Results'!$H$5:$H$204)+SUMPRODUCT(('Official Results'!$K$5:$K$204="Yes")*('Official Results'!$E$5:$E$204=T33)*'Official Results'!$G$5:$G$204))</x:f>
      </x:c>
      <x:c r="AB33" s="38" t="str">
        <x:f>IF(T33="","",Z33-AA33)</x:f>
      </x:c>
      <x:c r="AC33" s="38" t="str">
        <x:f>IF(T33="","",W33*Rules!$C$5+X33*Rules!$C$6+Y33*Rules!$C$7)</x:f>
      </x:c>
      <x:c r="AD33" s="38" t="str">
        <x:f>AC33</x:f>
      </x:c>
      <x:c r="AE33" s="38" t="str">
        <x:f>AB33</x:f>
      </x:c>
      <x:c r="AF33" s="38" t="str">
        <x:f>Z33</x:f>
      </x:c>
      <x:c r="AG33" s="38" t="str">
        <x:f>IF(T33="","",IF(Teams!E33&lt;&gt;"Active","Team not active",""))</x:f>
      </x:c>
      <x:c r="AH33" s="38" t="str">
        <x:f>IF(R33="","",COUNTIF($R$5:$R$36,"&lt;"&amp;R33)*100000+S33*1000+COUNTIFS($R$5:$R$36,R33,$S$5:$S$36,S33,$U$5:$U$36,"&lt;="&amp;U33))</x:f>
      </x:c>
    </x:row>
    <x:row r="34" ht="15" hidden="0" customHeight="1">
      <x:c r="A34" s="48" t="str">
        <x:f>IF($Q34="","",INDEX($R$5:$AG$36,MATCH($Q34,$AH$5:$AH$36,0),1))</x:f>
      </x:c>
      <x:c r="B34" s="38" t="str">
        <x:f>IF($Q34="","",INDEX($R$5:$AG$36,MATCH($Q34,$AH$5:$AH$36,0),2))</x:f>
      </x:c>
      <x:c r="C34" s="38" t="str">
        <x:f>IF($Q34="","",INDEX($R$5:$AG$36,MATCH($Q34,$AH$5:$AH$36,0),3))</x:f>
      </x:c>
      <x:c r="D34" s="38" t="str">
        <x:f>IF($Q34="","",INDEX($R$5:$AG$36,MATCH($Q34,$AH$5:$AH$36,0),4))</x:f>
      </x:c>
      <x:c r="E34" s="38" t="str">
        <x:f>IF($Q34="","",INDEX($R$5:$AG$36,MATCH($Q34,$AH$5:$AH$36,0),5))</x:f>
      </x:c>
      <x:c r="F34" s="38" t="str">
        <x:f>IF($Q34="","",INDEX($R$5:$AG$36,MATCH($Q34,$AH$5:$AH$36,0),6))</x:f>
      </x:c>
      <x:c r="G34" s="38" t="str">
        <x:f>IF($Q34="","",INDEX($R$5:$AG$36,MATCH($Q34,$AH$5:$AH$36,0),7))</x:f>
      </x:c>
      <x:c r="H34" s="38" t="str">
        <x:f>IF($Q34="","",INDEX($R$5:$AG$36,MATCH($Q34,$AH$5:$AH$36,0),8))</x:f>
      </x:c>
      <x:c r="I34" s="38" t="str">
        <x:f>IF($Q34="","",INDEX($R$5:$AG$36,MATCH($Q34,$AH$5:$AH$36,0),9))</x:f>
      </x:c>
      <x:c r="J34" s="38" t="str">
        <x:f>IF($Q34="","",INDEX($R$5:$AG$36,MATCH($Q34,$AH$5:$AH$36,0),10))</x:f>
      </x:c>
      <x:c r="K34" s="38" t="str">
        <x:f>IF($Q34="","",INDEX($R$5:$AG$36,MATCH($Q34,$AH$5:$AH$36,0),11))</x:f>
      </x:c>
      <x:c r="L34" s="38" t="str">
        <x:f>IF($Q34="","",INDEX($R$5:$AG$36,MATCH($Q34,$AH$5:$AH$36,0),12))</x:f>
      </x:c>
      <x:c r="M34" s="38" t="str">
        <x:f>IF($Q34="","",INDEX($R$5:$AG$36,MATCH($Q34,$AH$5:$AH$36,0),13))</x:f>
      </x:c>
      <x:c r="N34" s="38" t="str">
        <x:f>IF($Q34="","",INDEX($R$5:$AG$36,MATCH($Q34,$AH$5:$AH$36,0),14))</x:f>
      </x:c>
      <x:c r="O34" s="38" t="str">
        <x:f>IF($Q34="","",INDEX($R$5:$AG$36,MATCH($Q34,$AH$5:$AH$36,0),15))</x:f>
      </x:c>
      <x:c r="P34" s="49" t="str">
        <x:f>IF($Q34="","",INDEX($R$5:$AG$36,MATCH($Q34,$AH$5:$AH$36,0),16))</x:f>
      </x:c>
      <x:c r="Q34" s="38" t="str">
        <x:f>IFERROR(SMALL($AH$5:$AH$36,ROWS($Q$5:Q34)),"")</x:f>
      </x:c>
      <x:c r="R34" s="38" t="str">
        <x:f>IF(Teams!A34="","",Teams!D34)</x:f>
      </x:c>
      <x:c r="S34" s="38" t="str">
        <x:f>IF(T34="","",1+COUNTIFS($R$5:$R$36,R34,$AC$5:$AC$36,"&gt;"&amp;AC34)+COUNTIFS($R$5:$R$36,R34,$AC$5:$AC$36,AC34,$AB$5:$AB$36,"&gt;"&amp;AB34)+COUNTIFS($R$5:$R$36,R34,$AC$5:$AC$36,AC34,$AB$5:$AB$36,AB34,$Z$5:$Z$36,"&gt;"&amp;Z34))</x:f>
      </x:c>
      <x:c r="T34" s="38" t="n">
        <x:f>Teams!A34</x:f>
        <x:v>0</x:v>
      </x:c>
      <x:c r="U34" s="38" t="n">
        <x:f>Teams!C34</x:f>
        <x:v>0</x:v>
      </x:c>
      <x:c r="V34" s="38" t="str">
        <x:f>IF(T34="","",SUMPRODUCT(('Official Results'!$K$5:$K$204="Yes")*(('Official Results'!$C$5:$C$204=T34)+('Official Results'!$E$5:$E$204=T34))))</x:f>
      </x:c>
      <x:c r="W34" s="38" t="str">
        <x:f>IF(T34="","",SUMPRODUCT(('Official Results'!$K$5:$K$204="Yes")*('Official Results'!$C$5:$C$204=T34)*('Official Results'!$G$5:$G$204&gt;'Official Results'!$H$5:$H$204))+SUMPRODUCT(('Official Results'!$K$5:$K$204="Yes")*('Official Results'!$E$5:$E$204=T34)*('Official Results'!$H$5:$H$204&gt;'Official Results'!$G$5:$G$204)))</x:f>
      </x:c>
      <x:c r="X34" s="38" t="str">
        <x:f>IF(T34="","",SUMPRODUCT(('Official Results'!$K$5:$K$204="Yes")*(('Official Results'!$C$5:$C$204=T34)+('Official Results'!$E$5:$E$204=T34))*('Official Results'!$G$5:$G$204='Official Results'!$H$5:$H$204)))</x:f>
      </x:c>
      <x:c r="Y34" s="38" t="str">
        <x:f>IF(T34="","",V34-W34-X34)</x:f>
      </x:c>
      <x:c r="Z34" s="38" t="str">
        <x:f>IF(T34="","",SUMPRODUCT(('Official Results'!$K$5:$K$204="Yes")*('Official Results'!$C$5:$C$204=T34)*'Official Results'!$G$5:$G$204)+SUMPRODUCT(('Official Results'!$K$5:$K$204="Yes")*('Official Results'!$E$5:$E$204=T34)*'Official Results'!$H$5:$H$204))</x:f>
      </x:c>
      <x:c r="AA34" s="38" t="str">
        <x:f>IF(T34="","",SUMPRODUCT(('Official Results'!$K$5:$K$204="Yes")*('Official Results'!$C$5:$C$204=T34)*'Official Results'!$H$5:$H$204)+SUMPRODUCT(('Official Results'!$K$5:$K$204="Yes")*('Official Results'!$E$5:$E$204=T34)*'Official Results'!$G$5:$G$204))</x:f>
      </x:c>
      <x:c r="AB34" s="38" t="str">
        <x:f>IF(T34="","",Z34-AA34)</x:f>
      </x:c>
      <x:c r="AC34" s="38" t="str">
        <x:f>IF(T34="","",W34*Rules!$C$5+X34*Rules!$C$6+Y34*Rules!$C$7)</x:f>
      </x:c>
      <x:c r="AD34" s="38" t="str">
        <x:f>AC34</x:f>
      </x:c>
      <x:c r="AE34" s="38" t="str">
        <x:f>AB34</x:f>
      </x:c>
      <x:c r="AF34" s="38" t="str">
        <x:f>Z34</x:f>
      </x:c>
      <x:c r="AG34" s="38" t="str">
        <x:f>IF(T34="","",IF(Teams!E34&lt;&gt;"Active","Team not active",""))</x:f>
      </x:c>
      <x:c r="AH34" s="38" t="str">
        <x:f>IF(R34="","",COUNTIF($R$5:$R$36,"&lt;"&amp;R34)*100000+S34*1000+COUNTIFS($R$5:$R$36,R34,$S$5:$S$36,S34,$U$5:$U$36,"&lt;="&amp;U34))</x:f>
      </x:c>
    </x:row>
    <x:row r="35" ht="15" hidden="0" customHeight="1">
      <x:c r="A35" s="48" t="str">
        <x:f>IF($Q35="","",INDEX($R$5:$AG$36,MATCH($Q35,$AH$5:$AH$36,0),1))</x:f>
      </x:c>
      <x:c r="B35" s="38" t="str">
        <x:f>IF($Q35="","",INDEX($R$5:$AG$36,MATCH($Q35,$AH$5:$AH$36,0),2))</x:f>
      </x:c>
      <x:c r="C35" s="38" t="str">
        <x:f>IF($Q35="","",INDEX($R$5:$AG$36,MATCH($Q35,$AH$5:$AH$36,0),3))</x:f>
      </x:c>
      <x:c r="D35" s="38" t="str">
        <x:f>IF($Q35="","",INDEX($R$5:$AG$36,MATCH($Q35,$AH$5:$AH$36,0),4))</x:f>
      </x:c>
      <x:c r="E35" s="38" t="str">
        <x:f>IF($Q35="","",INDEX($R$5:$AG$36,MATCH($Q35,$AH$5:$AH$36,0),5))</x:f>
      </x:c>
      <x:c r="F35" s="38" t="str">
        <x:f>IF($Q35="","",INDEX($R$5:$AG$36,MATCH($Q35,$AH$5:$AH$36,0),6))</x:f>
      </x:c>
      <x:c r="G35" s="38" t="str">
        <x:f>IF($Q35="","",INDEX($R$5:$AG$36,MATCH($Q35,$AH$5:$AH$36,0),7))</x:f>
      </x:c>
      <x:c r="H35" s="38" t="str">
        <x:f>IF($Q35="","",INDEX($R$5:$AG$36,MATCH($Q35,$AH$5:$AH$36,0),8))</x:f>
      </x:c>
      <x:c r="I35" s="38" t="str">
        <x:f>IF($Q35="","",INDEX($R$5:$AG$36,MATCH($Q35,$AH$5:$AH$36,0),9))</x:f>
      </x:c>
      <x:c r="J35" s="38" t="str">
        <x:f>IF($Q35="","",INDEX($R$5:$AG$36,MATCH($Q35,$AH$5:$AH$36,0),10))</x:f>
      </x:c>
      <x:c r="K35" s="38" t="str">
        <x:f>IF($Q35="","",INDEX($R$5:$AG$36,MATCH($Q35,$AH$5:$AH$36,0),11))</x:f>
      </x:c>
      <x:c r="L35" s="38" t="str">
        <x:f>IF($Q35="","",INDEX($R$5:$AG$36,MATCH($Q35,$AH$5:$AH$36,0),12))</x:f>
      </x:c>
      <x:c r="M35" s="38" t="str">
        <x:f>IF($Q35="","",INDEX($R$5:$AG$36,MATCH($Q35,$AH$5:$AH$36,0),13))</x:f>
      </x:c>
      <x:c r="N35" s="38" t="str">
        <x:f>IF($Q35="","",INDEX($R$5:$AG$36,MATCH($Q35,$AH$5:$AH$36,0),14))</x:f>
      </x:c>
      <x:c r="O35" s="38" t="str">
        <x:f>IF($Q35="","",INDEX($R$5:$AG$36,MATCH($Q35,$AH$5:$AH$36,0),15))</x:f>
      </x:c>
      <x:c r="P35" s="49" t="str">
        <x:f>IF($Q35="","",INDEX($R$5:$AG$36,MATCH($Q35,$AH$5:$AH$36,0),16))</x:f>
      </x:c>
      <x:c r="Q35" s="38" t="str">
        <x:f>IFERROR(SMALL($AH$5:$AH$36,ROWS($Q$5:Q35)),"")</x:f>
      </x:c>
      <x:c r="R35" s="38" t="str">
        <x:f>IF(Teams!A35="","",Teams!D35)</x:f>
      </x:c>
      <x:c r="S35" s="38" t="str">
        <x:f>IF(T35="","",1+COUNTIFS($R$5:$R$36,R35,$AC$5:$AC$36,"&gt;"&amp;AC35)+COUNTIFS($R$5:$R$36,R35,$AC$5:$AC$36,AC35,$AB$5:$AB$36,"&gt;"&amp;AB35)+COUNTIFS($R$5:$R$36,R35,$AC$5:$AC$36,AC35,$AB$5:$AB$36,AB35,$Z$5:$Z$36,"&gt;"&amp;Z35))</x:f>
      </x:c>
      <x:c r="T35" s="38" t="n">
        <x:f>Teams!A35</x:f>
        <x:v>0</x:v>
      </x:c>
      <x:c r="U35" s="38" t="n">
        <x:f>Teams!C35</x:f>
        <x:v>0</x:v>
      </x:c>
      <x:c r="V35" s="38" t="str">
        <x:f>IF(T35="","",SUMPRODUCT(('Official Results'!$K$5:$K$204="Yes")*(('Official Results'!$C$5:$C$204=T35)+('Official Results'!$E$5:$E$204=T35))))</x:f>
      </x:c>
      <x:c r="W35" s="38" t="str">
        <x:f>IF(T35="","",SUMPRODUCT(('Official Results'!$K$5:$K$204="Yes")*('Official Results'!$C$5:$C$204=T35)*('Official Results'!$G$5:$G$204&gt;'Official Results'!$H$5:$H$204))+SUMPRODUCT(('Official Results'!$K$5:$K$204="Yes")*('Official Results'!$E$5:$E$204=T35)*('Official Results'!$H$5:$H$204&gt;'Official Results'!$G$5:$G$204)))</x:f>
      </x:c>
      <x:c r="X35" s="38" t="str">
        <x:f>IF(T35="","",SUMPRODUCT(('Official Results'!$K$5:$K$204="Yes")*(('Official Results'!$C$5:$C$204=T35)+('Official Results'!$E$5:$E$204=T35))*('Official Results'!$G$5:$G$204='Official Results'!$H$5:$H$204)))</x:f>
      </x:c>
      <x:c r="Y35" s="38" t="str">
        <x:f>IF(T35="","",V35-W35-X35)</x:f>
      </x:c>
      <x:c r="Z35" s="38" t="str">
        <x:f>IF(T35="","",SUMPRODUCT(('Official Results'!$K$5:$K$204="Yes")*('Official Results'!$C$5:$C$204=T35)*'Official Results'!$G$5:$G$204)+SUMPRODUCT(('Official Results'!$K$5:$K$204="Yes")*('Official Results'!$E$5:$E$204=T35)*'Official Results'!$H$5:$H$204))</x:f>
      </x:c>
      <x:c r="AA35" s="38" t="str">
        <x:f>IF(T35="","",SUMPRODUCT(('Official Results'!$K$5:$K$204="Yes")*('Official Results'!$C$5:$C$204=T35)*'Official Results'!$H$5:$H$204)+SUMPRODUCT(('Official Results'!$K$5:$K$204="Yes")*('Official Results'!$E$5:$E$204=T35)*'Official Results'!$G$5:$G$204))</x:f>
      </x:c>
      <x:c r="AB35" s="38" t="str">
        <x:f>IF(T35="","",Z35-AA35)</x:f>
      </x:c>
      <x:c r="AC35" s="38" t="str">
        <x:f>IF(T35="","",W35*Rules!$C$5+X35*Rules!$C$6+Y35*Rules!$C$7)</x:f>
      </x:c>
      <x:c r="AD35" s="38" t="str">
        <x:f>AC35</x:f>
      </x:c>
      <x:c r="AE35" s="38" t="str">
        <x:f>AB35</x:f>
      </x:c>
      <x:c r="AF35" s="38" t="str">
        <x:f>Z35</x:f>
      </x:c>
      <x:c r="AG35" s="38" t="str">
        <x:f>IF(T35="","",IF(Teams!E35&lt;&gt;"Active","Team not active",""))</x:f>
      </x:c>
      <x:c r="AH35" s="38" t="str">
        <x:f>IF(R35="","",COUNTIF($R$5:$R$36,"&lt;"&amp;R35)*100000+S35*1000+COUNTIFS($R$5:$R$36,R35,$S$5:$S$36,S35,$U$5:$U$36,"&lt;="&amp;U35))</x:f>
      </x:c>
    </x:row>
    <x:row r="36" ht="15" hidden="0" customHeight="1">
      <x:c r="A36" s="50" t="str">
        <x:f>IF($Q36="","",INDEX($R$5:$AG$36,MATCH($Q36,$AH$5:$AH$36,0),1))</x:f>
      </x:c>
      <x:c r="B36" s="51" t="str">
        <x:f>IF($Q36="","",INDEX($R$5:$AG$36,MATCH($Q36,$AH$5:$AH$36,0),2))</x:f>
      </x:c>
      <x:c r="C36" s="51" t="str">
        <x:f>IF($Q36="","",INDEX($R$5:$AG$36,MATCH($Q36,$AH$5:$AH$36,0),3))</x:f>
      </x:c>
      <x:c r="D36" s="51" t="str">
        <x:f>IF($Q36="","",INDEX($R$5:$AG$36,MATCH($Q36,$AH$5:$AH$36,0),4))</x:f>
      </x:c>
      <x:c r="E36" s="51" t="str">
        <x:f>IF($Q36="","",INDEX($R$5:$AG$36,MATCH($Q36,$AH$5:$AH$36,0),5))</x:f>
      </x:c>
      <x:c r="F36" s="51" t="str">
        <x:f>IF($Q36="","",INDEX($R$5:$AG$36,MATCH($Q36,$AH$5:$AH$36,0),6))</x:f>
      </x:c>
      <x:c r="G36" s="51" t="str">
        <x:f>IF($Q36="","",INDEX($R$5:$AG$36,MATCH($Q36,$AH$5:$AH$36,0),7))</x:f>
      </x:c>
      <x:c r="H36" s="51" t="str">
        <x:f>IF($Q36="","",INDEX($R$5:$AG$36,MATCH($Q36,$AH$5:$AH$36,0),8))</x:f>
      </x:c>
      <x:c r="I36" s="51" t="str">
        <x:f>IF($Q36="","",INDEX($R$5:$AG$36,MATCH($Q36,$AH$5:$AH$36,0),9))</x:f>
      </x:c>
      <x:c r="J36" s="51" t="str">
        <x:f>IF($Q36="","",INDEX($R$5:$AG$36,MATCH($Q36,$AH$5:$AH$36,0),10))</x:f>
      </x:c>
      <x:c r="K36" s="51" t="str">
        <x:f>IF($Q36="","",INDEX($R$5:$AG$36,MATCH($Q36,$AH$5:$AH$36,0),11))</x:f>
      </x:c>
      <x:c r="L36" s="51" t="str">
        <x:f>IF($Q36="","",INDEX($R$5:$AG$36,MATCH($Q36,$AH$5:$AH$36,0),12))</x:f>
      </x:c>
      <x:c r="M36" s="51" t="str">
        <x:f>IF($Q36="","",INDEX($R$5:$AG$36,MATCH($Q36,$AH$5:$AH$36,0),13))</x:f>
      </x:c>
      <x:c r="N36" s="51" t="str">
        <x:f>IF($Q36="","",INDEX($R$5:$AG$36,MATCH($Q36,$AH$5:$AH$36,0),14))</x:f>
      </x:c>
      <x:c r="O36" s="51" t="str">
        <x:f>IF($Q36="","",INDEX($R$5:$AG$36,MATCH($Q36,$AH$5:$AH$36,0),15))</x:f>
      </x:c>
      <x:c r="P36" s="52" t="str">
        <x:f>IF($Q36="","",INDEX($R$5:$AG$36,MATCH($Q36,$AH$5:$AH$36,0),16))</x:f>
      </x:c>
      <x:c r="Q36" s="38" t="str">
        <x:f>IFERROR(SMALL($AH$5:$AH$36,ROWS($Q$5:Q36)),"")</x:f>
      </x:c>
      <x:c r="R36" s="38" t="str">
        <x:f>IF(Teams!A36="","",Teams!D36)</x:f>
      </x:c>
      <x:c r="S36" s="38" t="str">
        <x:f>IF(T36="","",1+COUNTIFS($R$5:$R$36,R36,$AC$5:$AC$36,"&gt;"&amp;AC36)+COUNTIFS($R$5:$R$36,R36,$AC$5:$AC$36,AC36,$AB$5:$AB$36,"&gt;"&amp;AB36)+COUNTIFS($R$5:$R$36,R36,$AC$5:$AC$36,AC36,$AB$5:$AB$36,AB36,$Z$5:$Z$36,"&gt;"&amp;Z36))</x:f>
      </x:c>
      <x:c r="T36" s="38" t="n">
        <x:f>Teams!A36</x:f>
        <x:v>0</x:v>
      </x:c>
      <x:c r="U36" s="38" t="n">
        <x:f>Teams!C36</x:f>
        <x:v>0</x:v>
      </x:c>
      <x:c r="V36" s="38" t="str">
        <x:f>IF(T36="","",SUMPRODUCT(('Official Results'!$K$5:$K$204="Yes")*(('Official Results'!$C$5:$C$204=T36)+('Official Results'!$E$5:$E$204=T36))))</x:f>
      </x:c>
      <x:c r="W36" s="38" t="str">
        <x:f>IF(T36="","",SUMPRODUCT(('Official Results'!$K$5:$K$204="Yes")*('Official Results'!$C$5:$C$204=T36)*('Official Results'!$G$5:$G$204&gt;'Official Results'!$H$5:$H$204))+SUMPRODUCT(('Official Results'!$K$5:$K$204="Yes")*('Official Results'!$E$5:$E$204=T36)*('Official Results'!$H$5:$H$204&gt;'Official Results'!$G$5:$G$204)))</x:f>
      </x:c>
      <x:c r="X36" s="38" t="str">
        <x:f>IF(T36="","",SUMPRODUCT(('Official Results'!$K$5:$K$204="Yes")*(('Official Results'!$C$5:$C$204=T36)+('Official Results'!$E$5:$E$204=T36))*('Official Results'!$G$5:$G$204='Official Results'!$H$5:$H$204)))</x:f>
      </x:c>
      <x:c r="Y36" s="38" t="str">
        <x:f>IF(T36="","",V36-W36-X36)</x:f>
      </x:c>
      <x:c r="Z36" s="38" t="str">
        <x:f>IF(T36="","",SUMPRODUCT(('Official Results'!$K$5:$K$204="Yes")*('Official Results'!$C$5:$C$204=T36)*'Official Results'!$G$5:$G$204)+SUMPRODUCT(('Official Results'!$K$5:$K$204="Yes")*('Official Results'!$E$5:$E$204=T36)*'Official Results'!$H$5:$H$204))</x:f>
      </x:c>
      <x:c r="AA36" s="38" t="str">
        <x:f>IF(T36="","",SUMPRODUCT(('Official Results'!$K$5:$K$204="Yes")*('Official Results'!$C$5:$C$204=T36)*'Official Results'!$H$5:$H$204)+SUMPRODUCT(('Official Results'!$K$5:$K$204="Yes")*('Official Results'!$E$5:$E$204=T36)*'Official Results'!$G$5:$G$204))</x:f>
      </x:c>
      <x:c r="AB36" s="38" t="str">
        <x:f>IF(T36="","",Z36-AA36)</x:f>
      </x:c>
      <x:c r="AC36" s="38" t="str">
        <x:f>IF(T36="","",W36*Rules!$C$5+X36*Rules!$C$6+Y36*Rules!$C$7)</x:f>
      </x:c>
      <x:c r="AD36" s="38" t="n">
        <x:f>AC36</x:f>
        <x:v>0</x:v>
      </x:c>
      <x:c r="AE36" s="38" t="n">
        <x:f>AB36</x:f>
        <x:v>0</x:v>
      </x:c>
      <x:c r="AF36" s="38" t="n">
        <x:f>Z36</x:f>
        <x:v>0</x:v>
      </x:c>
      <x:c r="AG36" s="38" t="str">
        <x:f>IF(T36="","",IF(Teams!E36&lt;&gt;"Active","Team not active",""))</x:f>
      </x:c>
      <x:c r="AH36" s="38" t="str">
        <x:f>IF(R36="","",COUNTIF($R$5:$R$36,"&lt;"&amp;R36)*100000+S36*1000+COUNTIFS($R$5:$R$36,R36,$S$5:$S$36,S36,$U$5:$U$36,"&lt;="&amp;U36))</x:f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c33793550a44e3f"/>
  </x:tableParts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.880001068115234" hidden="0" customWidth="1"/>
    <x:col min="2" max="2" width="9.380000114440918" hidden="0" customWidth="1"/>
    <x:col min="3" max="3" width="19.5" hidden="0" customWidth="1"/>
    <x:col min="4" max="4" width="13.630000114440918" hidden="0" customWidth="1"/>
    <x:col min="5" max="5" width="7.75" hidden="0" customWidth="1"/>
    <x:col min="6" max="6" width="53.880001068115234" hidden="0" customWidth="1"/>
    <x:col min="7" max="7" width="14.880000114440918" hidden="0" customWidth="1"/>
  </x:cols>
  <x:sheetData>
    <x:row r="1" ht="15" hidden="0" customHeight="1">
      <x:c r="A1" s="47" t="str">
        <x:v>Goal Scorers</x:v>
      </x:c>
      <x:c r="B1" s="38"/>
      <x:c r="C1" s="38"/>
      <x:c r="D1" s="38"/>
      <x:c r="E1" s="38"/>
      <x:c r="F1" s="38"/>
      <x:c r="G1" s="38"/>
    </x:row>
    <x:row r="2" ht="15" hidden="0" customHeight="1">
      <x:c r="A2" s="38" t="str">
        <x:v>Optional scorer tracking. Not a player database.</x:v>
      </x:c>
      <x:c r="B2" s="38"/>
      <x:c r="C2" s="38"/>
      <x:c r="D2" s="38"/>
      <x:c r="E2" s="38"/>
      <x:c r="F2" s="38"/>
      <x:c r="G2" s="38"/>
    </x:row>
    <x:row r="3" ht="15" hidden="0" customHeight="1">
      <x:c r="A3" s="38"/>
      <x:c r="B3" s="38"/>
      <x:c r="C3" s="38"/>
      <x:c r="D3" s="38"/>
      <x:c r="E3" s="38"/>
      <x:c r="F3" s="38"/>
      <x:c r="G3" s="38"/>
    </x:row>
    <x:row r="4" ht="15" hidden="0" customHeight="1">
      <x:c r="A4" s="39" t="str">
        <x:v>Match ID</x:v>
      </x:c>
      <x:c r="B4" s="40" t="str">
        <x:v>Team ID</x:v>
      </x:c>
      <x:c r="C4" s="40" t="str">
        <x:v>Player Display Name</x:v>
      </x:c>
      <x:c r="D4" s="40" t="str">
        <x:v>Shirt Number</x:v>
      </x:c>
      <x:c r="E4" s="40" t="str">
        <x:v>Goals</x:v>
      </x:c>
      <x:c r="F4" s="40" t="str">
        <x:v>Notes</x:v>
      </x:c>
      <x:c r="G4" s="41" t="str">
        <x:v>Validation Flag</x:v>
      </x:c>
    </x:row>
    <x:row r="5" ht="15" hidden="0" customHeight="1">
      <x:c r="A5" s="48" t="str">
        <x:v>M001</x:v>
      </x:c>
      <x:c r="B5" s="38" t="str">
        <x:v>T001</x:v>
      </x:c>
      <x:c r="C5" s="38" t="str">
        <x:v>Sam A</x:v>
      </x:c>
      <x:c r="D5" s="38" t="n">
        <x:v>9</x:v>
      </x:c>
      <x:c r="E5" s="38" t="n">
        <x:v>1</x:v>
      </x:c>
      <x:c r="F5" s="38" t="str">
        <x:v>Fictional demo player</x:v>
      </x:c>
      <x:c r="G5" s="49" t="str">
        <x:f>IF(A5="","",IF(OR(B5="",C5="",LEN(E5&amp;"")=0),"Missing scorer field",IF(E5&lt;0,"Negative goals","OK")))</x:f>
        <x:v>OK</x:v>
      </x:c>
    </x:row>
    <x:row r="6" ht="15" hidden="0" customHeight="1">
      <x:c r="A6" s="48" t="str">
        <x:v>M001</x:v>
      </x:c>
      <x:c r="B6" s="38" t="str">
        <x:v>T001</x:v>
      </x:c>
      <x:c r="C6" s="38" t="str">
        <x:v>Leo B</x:v>
      </x:c>
      <x:c r="D6" s="38" t="n">
        <x:v>11</x:v>
      </x:c>
      <x:c r="E6" s="38" t="n">
        <x:v>1</x:v>
      </x:c>
      <x:c r="F6" s="38" t="str">
        <x:v>Fictional demo player</x:v>
      </x:c>
      <x:c r="G6" s="49" t="str">
        <x:f>IF(A6="","",IF(OR(B6="",C6="",LEN(E6&amp;"")=0),"Missing scorer field",IF(E6&lt;0,"Negative goals","OK")))</x:f>
        <x:v>OK</x:v>
      </x:c>
    </x:row>
    <x:row r="7" ht="15" hidden="0" customHeight="1">
      <x:c r="A7" s="48" t="str">
        <x:v>M004</x:v>
      </x:c>
      <x:c r="B7" s="38" t="str">
        <x:v>T002</x:v>
      </x:c>
      <x:c r="C7" s="38" t="str">
        <x:v>Niko C</x:v>
      </x:c>
      <x:c r="D7" s="38" t="n">
        <x:v>10</x:v>
      </x:c>
      <x:c r="E7" s="38" t="n">
        <x:v>2</x:v>
      </x:c>
      <x:c r="F7" s="38" t="str">
        <x:v>Fictional demo player</x:v>
      </x:c>
      <x:c r="G7" s="49" t="str">
        <x:f>IF(A7="","",IF(OR(B7="",C7="",LEN(E7&amp;"")=0),"Missing scorer field",IF(E7&lt;0,"Negative goals","OK")))</x:f>
        <x:v>OK</x:v>
      </x:c>
    </x:row>
    <x:row r="8" ht="15" hidden="0" customHeight="1">
      <x:c r="A8" s="50" t="str">
        <x:v>M005</x:v>
      </x:c>
      <x:c r="B8" s="51" t="str">
        <x:v>T005</x:v>
      </x:c>
      <x:c r="C8" s="51" t="str">
        <x:v>Walkover</x:v>
      </x:c>
      <x:c r="D8" s="51" t="str"/>
      <x:c r="E8" s="51" t="n">
        <x:v>0</x:v>
      </x:c>
      <x:c r="F8" s="51" t="str">
        <x:v>Do not award scorer goals for default walkover unless local rules say so.</x:v>
      </x:c>
      <x:c r="G8" s="52" t="str">
        <x:f>IF(A8="","",IF(OR(B8="",C8="",LEN(E8&amp;"")=0),"Missing scorer field",IF(E8&lt;0,"Negative goals","OK")))</x:f>
        <x:v>OK</x:v>
      </x:c>
    </x:row>
    <x:row r="9" ht="15" hidden="0" customHeight="1">
      <x:c r="A9" s="38"/>
      <x:c r="B9" s="38"/>
      <x:c r="C9" s="38"/>
      <x:c r="D9" s="38"/>
      <x:c r="E9" s="38"/>
      <x:c r="F9" s="38"/>
      <x:c r="G9" s="38" t="str">
        <x:f>IF(A9="","",IF(OR(B9="",C9="",LEN(E9&amp;"")=0),"Missing scorer field",IF(E9&lt;0,"Negative goals","OK")))</x:f>
      </x:c>
    </x:row>
    <x:row r="10" ht="15" hidden="0" customHeight="1">
      <x:c r="A10" s="38"/>
      <x:c r="B10" s="38"/>
      <x:c r="C10" s="38"/>
      <x:c r="D10" s="38"/>
      <x:c r="E10" s="38"/>
      <x:c r="F10" s="38"/>
      <x:c r="G10" s="38" t="str">
        <x:f>IF(A10="","",IF(OR(B10="",C10="",LEN(E10&amp;"")=0),"Missing scorer field",IF(E10&lt;0,"Negative goals","OK")))</x:f>
      </x:c>
    </x:row>
    <x:row r="11" ht="15" hidden="0" customHeight="1">
      <x:c r="A11" s="38"/>
      <x:c r="B11" s="38"/>
      <x:c r="C11" s="38"/>
      <x:c r="D11" s="38"/>
      <x:c r="E11" s="38"/>
      <x:c r="F11" s="38"/>
      <x:c r="G11" s="38" t="str">
        <x:f>IF(A11="","",IF(OR(B11="",C11="",LEN(E11&amp;"")=0),"Missing scorer field",IF(E11&lt;0,"Negative goals","OK")))</x:f>
      </x:c>
    </x:row>
    <x:row r="12" ht="15" hidden="0" customHeight="1">
      <x:c r="A12" s="38"/>
      <x:c r="B12" s="38"/>
      <x:c r="C12" s="38"/>
      <x:c r="D12" s="38"/>
      <x:c r="E12" s="38"/>
      <x:c r="F12" s="38"/>
      <x:c r="G12" s="38" t="str">
        <x:f>IF(A12="","",IF(OR(B12="",C12="",LEN(E12&amp;"")=0),"Missing scorer field",IF(E12&lt;0,"Negative goals","OK")))</x:f>
      </x:c>
    </x:row>
    <x:row r="13" ht="15" hidden="0" customHeight="1">
      <x:c r="A13" s="38"/>
      <x:c r="B13" s="38"/>
      <x:c r="C13" s="38"/>
      <x:c r="D13" s="38"/>
      <x:c r="E13" s="38"/>
      <x:c r="F13" s="38"/>
      <x:c r="G13" s="38" t="str">
        <x:f>IF(A13="","",IF(OR(B13="",C13="",LEN(E13&amp;"")=0),"Missing scorer field",IF(E13&lt;0,"Negative goals","OK")))</x:f>
      </x:c>
    </x:row>
    <x:row r="14" ht="15" hidden="0" customHeight="1">
      <x:c r="A14" s="38"/>
      <x:c r="B14" s="38"/>
      <x:c r="C14" s="38"/>
      <x:c r="D14" s="38"/>
      <x:c r="E14" s="38"/>
      <x:c r="F14" s="38"/>
      <x:c r="G14" s="38" t="str">
        <x:f>IF(A14="","",IF(OR(B14="",C14="",LEN(E14&amp;"")=0),"Missing scorer field",IF(E14&lt;0,"Negative goals","OK")))</x:f>
      </x:c>
    </x:row>
    <x:row r="15" ht="15" hidden="0" customHeight="1">
      <x:c r="A15" s="38"/>
      <x:c r="B15" s="38"/>
      <x:c r="C15" s="38"/>
      <x:c r="D15" s="38"/>
      <x:c r="E15" s="38"/>
      <x:c r="F15" s="38"/>
      <x:c r="G15" s="38" t="str">
        <x:f>IF(A15="","",IF(OR(B15="",C15="",LEN(E15&amp;"")=0),"Missing scorer field",IF(E15&lt;0,"Negative goals","OK")))</x:f>
      </x:c>
    </x:row>
    <x:row r="16" ht="15" hidden="0" customHeight="1">
      <x:c r="A16" s="38"/>
      <x:c r="B16" s="38"/>
      <x:c r="C16" s="38"/>
      <x:c r="D16" s="38"/>
      <x:c r="E16" s="38"/>
      <x:c r="F16" s="38"/>
      <x:c r="G16" s="38" t="str">
        <x:f>IF(A16="","",IF(OR(B16="",C16="",LEN(E16&amp;"")=0),"Missing scorer field",IF(E16&lt;0,"Negative goals","OK")))</x:f>
      </x:c>
    </x:row>
    <x:row r="17" ht="15" hidden="0" customHeight="1">
      <x:c r="A17" s="38"/>
      <x:c r="B17" s="38"/>
      <x:c r="C17" s="38"/>
      <x:c r="D17" s="38"/>
      <x:c r="E17" s="38"/>
      <x:c r="F17" s="38"/>
      <x:c r="G17" s="38" t="str">
        <x:f>IF(A17="","",IF(OR(B17="",C17="",LEN(E17&amp;"")=0),"Missing scorer field",IF(E17&lt;0,"Negative goals","OK")))</x:f>
      </x:c>
    </x:row>
    <x:row r="18" ht="15" hidden="0" customHeight="1">
      <x:c r="A18" s="38"/>
      <x:c r="B18" s="38"/>
      <x:c r="C18" s="38"/>
      <x:c r="D18" s="38"/>
      <x:c r="E18" s="38"/>
      <x:c r="F18" s="38"/>
      <x:c r="G18" s="38" t="str">
        <x:f>IF(A18="","",IF(OR(B18="",C18="",LEN(E18&amp;"")=0),"Missing scorer field",IF(E18&lt;0,"Negative goals","OK")))</x:f>
      </x:c>
    </x:row>
    <x:row r="19" ht="15" hidden="0" customHeight="1">
      <x:c r="A19" s="38"/>
      <x:c r="B19" s="38"/>
      <x:c r="C19" s="38"/>
      <x:c r="D19" s="38"/>
      <x:c r="E19" s="38"/>
      <x:c r="F19" s="38"/>
      <x:c r="G19" s="38" t="str">
        <x:f>IF(A19="","",IF(OR(B19="",C19="",LEN(E19&amp;"")=0),"Missing scorer field",IF(E19&lt;0,"Negative goals","OK")))</x:f>
      </x:c>
    </x:row>
    <x:row r="20" ht="15" hidden="0" customHeight="1">
      <x:c r="A20" s="38"/>
      <x:c r="B20" s="38"/>
      <x:c r="C20" s="38"/>
      <x:c r="D20" s="38"/>
      <x:c r="E20" s="38"/>
      <x:c r="F20" s="38"/>
      <x:c r="G20" s="38" t="str">
        <x:f>IF(A20="","",IF(OR(B20="",C20="",LEN(E20&amp;"")=0),"Missing scorer field",IF(E20&lt;0,"Negative goals","OK")))</x:f>
      </x:c>
    </x:row>
    <x:row r="21" ht="15" hidden="0" customHeight="1">
      <x:c r="A21" s="38"/>
      <x:c r="B21" s="38"/>
      <x:c r="C21" s="38"/>
      <x:c r="D21" s="38"/>
      <x:c r="E21" s="38"/>
      <x:c r="F21" s="38"/>
      <x:c r="G21" s="38" t="str">
        <x:f>IF(A21="","",IF(OR(B21="",C21="",LEN(E21&amp;"")=0),"Missing scorer field",IF(E21&lt;0,"Negative goals","OK")))</x:f>
      </x:c>
    </x:row>
    <x:row r="22" ht="15" hidden="0" customHeight="1">
      <x:c r="A22" s="38"/>
      <x:c r="B22" s="38"/>
      <x:c r="C22" s="38"/>
      <x:c r="D22" s="38"/>
      <x:c r="E22" s="38"/>
      <x:c r="F22" s="38"/>
      <x:c r="G22" s="38" t="str">
        <x:f>IF(A22="","",IF(OR(B22="",C22="",LEN(E22&amp;"")=0),"Missing scorer field",IF(E22&lt;0,"Negative goals","OK")))</x:f>
      </x:c>
    </x:row>
    <x:row r="23" ht="15" hidden="0" customHeight="1">
      <x:c r="A23" s="38"/>
      <x:c r="B23" s="38"/>
      <x:c r="C23" s="38"/>
      <x:c r="D23" s="38"/>
      <x:c r="E23" s="38"/>
      <x:c r="F23" s="38"/>
      <x:c r="G23" s="38" t="str">
        <x:f>IF(A23="","",IF(OR(B23="",C23="",LEN(E23&amp;"")=0),"Missing scorer field",IF(E23&lt;0,"Negative goals","OK")))</x:f>
      </x:c>
    </x:row>
    <x:row r="24" ht="15" hidden="0" customHeight="1">
      <x:c r="A24" s="38"/>
      <x:c r="B24" s="38"/>
      <x:c r="C24" s="38"/>
      <x:c r="D24" s="38"/>
      <x:c r="E24" s="38"/>
      <x:c r="F24" s="38"/>
      <x:c r="G24" s="38" t="str">
        <x:f>IF(A24="","",IF(OR(B24="",C24="",LEN(E24&amp;"")=0),"Missing scorer field",IF(E24&lt;0,"Negative goals","OK")))</x:f>
      </x:c>
    </x:row>
    <x:row r="25" ht="15" hidden="0" customHeight="1">
      <x:c r="A25" s="38"/>
      <x:c r="B25" s="38"/>
      <x:c r="C25" s="38"/>
      <x:c r="D25" s="38"/>
      <x:c r="E25" s="38"/>
      <x:c r="F25" s="38"/>
      <x:c r="G25" s="38" t="str">
        <x:f>IF(A25="","",IF(OR(B25="",C25="",LEN(E25&amp;"")=0),"Missing scorer field",IF(E25&lt;0,"Negative goals","OK")))</x:f>
      </x:c>
    </x:row>
    <x:row r="26" ht="15" hidden="0" customHeight="1">
      <x:c r="A26" s="38"/>
      <x:c r="B26" s="38"/>
      <x:c r="C26" s="38"/>
      <x:c r="D26" s="38"/>
      <x:c r="E26" s="38"/>
      <x:c r="F26" s="38"/>
      <x:c r="G26" s="38" t="str">
        <x:f>IF(A26="","",IF(OR(B26="",C26="",LEN(E26&amp;"")=0),"Missing scorer field",IF(E26&lt;0,"Negative goals","OK")))</x:f>
      </x:c>
    </x:row>
    <x:row r="27" ht="15" hidden="0" customHeight="1">
      <x:c r="A27" s="38"/>
      <x:c r="B27" s="38"/>
      <x:c r="C27" s="38"/>
      <x:c r="D27" s="38"/>
      <x:c r="E27" s="38"/>
      <x:c r="F27" s="38"/>
      <x:c r="G27" s="38" t="str">
        <x:f>IF(A27="","",IF(OR(B27="",C27="",LEN(E27&amp;"")=0),"Missing scorer field",IF(E27&lt;0,"Negative goals","OK")))</x:f>
      </x:c>
    </x:row>
    <x:row r="28" ht="15" hidden="0" customHeight="1">
      <x:c r="A28" s="38"/>
      <x:c r="B28" s="38"/>
      <x:c r="C28" s="38"/>
      <x:c r="D28" s="38"/>
      <x:c r="E28" s="38"/>
      <x:c r="F28" s="38"/>
      <x:c r="G28" s="38" t="str">
        <x:f>IF(A28="","",IF(OR(B28="",C28="",LEN(E28&amp;"")=0),"Missing scorer field",IF(E28&lt;0,"Negative goals","OK")))</x:f>
      </x:c>
    </x:row>
    <x:row r="29" ht="15" hidden="0" customHeight="1">
      <x:c r="A29" s="38"/>
      <x:c r="B29" s="38"/>
      <x:c r="C29" s="38"/>
      <x:c r="D29" s="38"/>
      <x:c r="E29" s="38"/>
      <x:c r="F29" s="38"/>
      <x:c r="G29" s="38" t="str">
        <x:f>IF(A29="","",IF(OR(B29="",C29="",LEN(E29&amp;"")=0),"Missing scorer field",IF(E29&lt;0,"Negative goals","OK")))</x:f>
      </x:c>
    </x:row>
    <x:row r="30" ht="15" hidden="0" customHeight="1">
      <x:c r="A30" s="38"/>
      <x:c r="B30" s="38"/>
      <x:c r="C30" s="38"/>
      <x:c r="D30" s="38"/>
      <x:c r="E30" s="38"/>
      <x:c r="F30" s="38"/>
      <x:c r="G30" s="38" t="str">
        <x:f>IF(A30="","",IF(OR(B30="",C30="",LEN(E30&amp;"")=0),"Missing scorer field",IF(E30&lt;0,"Negative goals","OK")))</x:f>
      </x:c>
    </x:row>
    <x:row r="31" ht="15" hidden="0" customHeight="1">
      <x:c r="A31" s="38"/>
      <x:c r="B31" s="38"/>
      <x:c r="C31" s="38"/>
      <x:c r="D31" s="38"/>
      <x:c r="E31" s="38"/>
      <x:c r="F31" s="38"/>
      <x:c r="G31" s="38" t="str">
        <x:f>IF(A31="","",IF(OR(B31="",C31="",LEN(E31&amp;"")=0),"Missing scorer field",IF(E31&lt;0,"Negative goals","OK")))</x:f>
      </x:c>
    </x:row>
    <x:row r="32" ht="15" hidden="0" customHeight="1">
      <x:c r="A32" s="38"/>
      <x:c r="B32" s="38"/>
      <x:c r="C32" s="38"/>
      <x:c r="D32" s="38"/>
      <x:c r="E32" s="38"/>
      <x:c r="F32" s="38"/>
      <x:c r="G32" s="38" t="str">
        <x:f>IF(A32="","",IF(OR(B32="",C32="",LEN(E32&amp;"")=0),"Missing scorer field",IF(E32&lt;0,"Negative goals","OK")))</x:f>
      </x:c>
    </x:row>
    <x:row r="33" ht="15" hidden="0" customHeight="1">
      <x:c r="A33" s="38"/>
      <x:c r="B33" s="38"/>
      <x:c r="C33" s="38"/>
      <x:c r="D33" s="38"/>
      <x:c r="E33" s="38"/>
      <x:c r="F33" s="38"/>
      <x:c r="G33" s="38" t="str">
        <x:f>IF(A33="","",IF(OR(B33="",C33="",LEN(E33&amp;"")=0),"Missing scorer field",IF(E33&lt;0,"Negative goals","OK")))</x:f>
      </x:c>
    </x:row>
    <x:row r="34" ht="15" hidden="0" customHeight="1">
      <x:c r="A34" s="38"/>
      <x:c r="B34" s="38"/>
      <x:c r="C34" s="38"/>
      <x:c r="D34" s="38"/>
      <x:c r="E34" s="38"/>
      <x:c r="F34" s="38"/>
      <x:c r="G34" s="38" t="str">
        <x:f>IF(A34="","",IF(OR(B34="",C34="",LEN(E34&amp;"")=0),"Missing scorer field",IF(E34&lt;0,"Negative goals","OK")))</x:f>
      </x:c>
    </x:row>
    <x:row r="35" ht="15" hidden="0" customHeight="1">
      <x:c r="A35" s="38"/>
      <x:c r="B35" s="38"/>
      <x:c r="C35" s="38"/>
      <x:c r="D35" s="38"/>
      <x:c r="E35" s="38"/>
      <x:c r="F35" s="38"/>
      <x:c r="G35" s="38" t="str">
        <x:f>IF(A35="","",IF(OR(B35="",C35="",LEN(E35&amp;"")=0),"Missing scorer field",IF(E35&lt;0,"Negative goals","OK")))</x:f>
      </x:c>
    </x:row>
    <x:row r="36" ht="15" hidden="0" customHeight="1">
      <x:c r="A36" s="38"/>
      <x:c r="B36" s="38"/>
      <x:c r="C36" s="38"/>
      <x:c r="D36" s="38"/>
      <x:c r="E36" s="38"/>
      <x:c r="F36" s="38"/>
      <x:c r="G36" s="38" t="str">
        <x:f>IF(A36="","",IF(OR(B36="",C36="",LEN(E36&amp;"")=0),"Missing scorer field",IF(E36&lt;0,"Negative goals","OK")))</x:f>
      </x:c>
    </x:row>
    <x:row r="37" ht="15" hidden="0" customHeight="1">
      <x:c r="A37" s="38"/>
      <x:c r="B37" s="38"/>
      <x:c r="C37" s="38"/>
      <x:c r="D37" s="38"/>
      <x:c r="E37" s="38"/>
      <x:c r="F37" s="38"/>
      <x:c r="G37" s="38" t="str">
        <x:f>IF(A37="","",IF(OR(B37="",C37="",LEN(E37&amp;"")=0),"Missing scorer field",IF(E37&lt;0,"Negative goals","OK")))</x:f>
      </x:c>
    </x:row>
    <x:row r="38" ht="15" hidden="0" customHeight="1">
      <x:c r="A38" s="38"/>
      <x:c r="B38" s="38"/>
      <x:c r="C38" s="38"/>
      <x:c r="D38" s="38"/>
      <x:c r="E38" s="38"/>
      <x:c r="F38" s="38"/>
      <x:c r="G38" s="38" t="str">
        <x:f>IF(A38="","",IF(OR(B38="",C38="",LEN(E38&amp;"")=0),"Missing scorer field",IF(E38&lt;0,"Negative goals","OK")))</x:f>
      </x:c>
    </x:row>
    <x:row r="39" ht="15" hidden="0" customHeight="1">
      <x:c r="A39" s="38"/>
      <x:c r="B39" s="38"/>
      <x:c r="C39" s="38"/>
      <x:c r="D39" s="38"/>
      <x:c r="E39" s="38"/>
      <x:c r="F39" s="38"/>
      <x:c r="G39" s="38" t="str">
        <x:f>IF(A39="","",IF(OR(B39="",C39="",LEN(E39&amp;"")=0),"Missing scorer field",IF(E39&lt;0,"Negative goals","OK")))</x:f>
      </x:c>
    </x:row>
    <x:row r="40" ht="15" hidden="0" customHeight="1">
      <x:c r="A40" s="38"/>
      <x:c r="B40" s="38"/>
      <x:c r="C40" s="38"/>
      <x:c r="D40" s="38"/>
      <x:c r="E40" s="38"/>
      <x:c r="F40" s="38"/>
      <x:c r="G40" s="38" t="str">
        <x:f>IF(A40="","",IF(OR(B40="",C40="",LEN(E40&amp;"")=0),"Missing scorer field",IF(E40&lt;0,"Negative goals","OK")))</x:f>
      </x:c>
    </x:row>
    <x:row r="41" ht="15" hidden="0" customHeight="1">
      <x:c r="A41" s="38"/>
      <x:c r="B41" s="38"/>
      <x:c r="C41" s="38"/>
      <x:c r="D41" s="38"/>
      <x:c r="E41" s="38"/>
      <x:c r="F41" s="38"/>
      <x:c r="G41" s="38" t="str">
        <x:f>IF(A41="","",IF(OR(B41="",C41="",LEN(E41&amp;"")=0),"Missing scorer field",IF(E41&lt;0,"Negative goals","OK")))</x:f>
      </x:c>
    </x:row>
    <x:row r="42" ht="15" hidden="0" customHeight="1">
      <x:c r="A42" s="38"/>
      <x:c r="B42" s="38"/>
      <x:c r="C42" s="38"/>
      <x:c r="D42" s="38"/>
      <x:c r="E42" s="38"/>
      <x:c r="F42" s="38"/>
      <x:c r="G42" s="38" t="str">
        <x:f>IF(A42="","",IF(OR(B42="",C42="",LEN(E42&amp;"")=0),"Missing scorer field",IF(E42&lt;0,"Negative goals","OK")))</x:f>
      </x:c>
    </x:row>
    <x:row r="43" ht="15" hidden="0" customHeight="1">
      <x:c r="A43" s="38"/>
      <x:c r="B43" s="38"/>
      <x:c r="C43" s="38"/>
      <x:c r="D43" s="38"/>
      <x:c r="E43" s="38"/>
      <x:c r="F43" s="38"/>
      <x:c r="G43" s="38" t="str">
        <x:f>IF(A43="","",IF(OR(B43="",C43="",LEN(E43&amp;"")=0),"Missing scorer field",IF(E43&lt;0,"Negative goals","OK")))</x:f>
      </x:c>
    </x:row>
    <x:row r="44" ht="15" hidden="0" customHeight="1">
      <x:c r="A44" s="38"/>
      <x:c r="B44" s="38"/>
      <x:c r="C44" s="38"/>
      <x:c r="D44" s="38"/>
      <x:c r="E44" s="38"/>
      <x:c r="F44" s="38"/>
      <x:c r="G44" s="38" t="str">
        <x:f>IF(A44="","",IF(OR(B44="",C44="",LEN(E44&amp;"")=0),"Missing scorer field",IF(E44&lt;0,"Negative goals","OK")))</x:f>
      </x:c>
    </x:row>
    <x:row r="45" ht="15" hidden="0" customHeight="1">
      <x:c r="A45" s="38"/>
      <x:c r="B45" s="38"/>
      <x:c r="C45" s="38"/>
      <x:c r="D45" s="38"/>
      <x:c r="E45" s="38"/>
      <x:c r="F45" s="38"/>
      <x:c r="G45" s="38" t="str">
        <x:f>IF(A45="","",IF(OR(B45="",C45="",LEN(E45&amp;"")=0),"Missing scorer field",IF(E45&lt;0,"Negative goals","OK")))</x:f>
      </x:c>
    </x:row>
    <x:row r="46" ht="15" hidden="0" customHeight="1">
      <x:c r="A46" s="38"/>
      <x:c r="B46" s="38"/>
      <x:c r="C46" s="38"/>
      <x:c r="D46" s="38"/>
      <x:c r="E46" s="38"/>
      <x:c r="F46" s="38"/>
      <x:c r="G46" s="38" t="str">
        <x:f>IF(A46="","",IF(OR(B46="",C46="",LEN(E46&amp;"")=0),"Missing scorer field",IF(E46&lt;0,"Negative goals","OK")))</x:f>
      </x:c>
    </x:row>
    <x:row r="47" ht="15" hidden="0" customHeight="1">
      <x:c r="A47" s="38"/>
      <x:c r="B47" s="38"/>
      <x:c r="C47" s="38"/>
      <x:c r="D47" s="38"/>
      <x:c r="E47" s="38"/>
      <x:c r="F47" s="38"/>
      <x:c r="G47" s="38" t="str">
        <x:f>IF(A47="","",IF(OR(B47="",C47="",LEN(E47&amp;"")=0),"Missing scorer field",IF(E47&lt;0,"Negative goals","OK")))</x:f>
      </x:c>
    </x:row>
    <x:row r="48" ht="15" hidden="0" customHeight="1">
      <x:c r="A48" s="38"/>
      <x:c r="B48" s="38"/>
      <x:c r="C48" s="38"/>
      <x:c r="D48" s="38"/>
      <x:c r="E48" s="38"/>
      <x:c r="F48" s="38"/>
      <x:c r="G48" s="38" t="str">
        <x:f>IF(A48="","",IF(OR(B48="",C48="",LEN(E48&amp;"")=0),"Missing scorer field",IF(E48&lt;0,"Negative goals","OK")))</x:f>
      </x:c>
    </x:row>
    <x:row r="49" ht="15" hidden="0" customHeight="1">
      <x:c r="A49" s="38"/>
      <x:c r="B49" s="38"/>
      <x:c r="C49" s="38"/>
      <x:c r="D49" s="38"/>
      <x:c r="E49" s="38"/>
      <x:c r="F49" s="38"/>
      <x:c r="G49" s="38" t="str">
        <x:f>IF(A49="","",IF(OR(B49="",C49="",LEN(E49&amp;"")=0),"Missing scorer field",IF(E49&lt;0,"Negative goals","OK")))</x:f>
      </x:c>
    </x:row>
    <x:row r="50" ht="15" hidden="0" customHeight="1">
      <x:c r="A50" s="38"/>
      <x:c r="B50" s="38"/>
      <x:c r="C50" s="38"/>
      <x:c r="D50" s="38"/>
      <x:c r="E50" s="38"/>
      <x:c r="F50" s="38"/>
      <x:c r="G50" s="38" t="str">
        <x:f>IF(A50="","",IF(OR(B50="",C50="",LEN(E50&amp;"")=0),"Missing scorer field",IF(E50&lt;0,"Negative goals","OK")))</x:f>
      </x:c>
    </x:row>
    <x:row r="51" ht="15" hidden="0" customHeight="1">
      <x:c r="A51" s="38"/>
      <x:c r="B51" s="38"/>
      <x:c r="C51" s="38"/>
      <x:c r="D51" s="38"/>
      <x:c r="E51" s="38"/>
      <x:c r="F51" s="38"/>
      <x:c r="G51" s="38" t="str">
        <x:f>IF(A51="","",IF(OR(B51="",C51="",LEN(E51&amp;"")=0),"Missing scorer field",IF(E51&lt;0,"Negative goals","OK")))</x:f>
      </x:c>
    </x:row>
    <x:row r="52" ht="15" hidden="0" customHeight="1">
      <x:c r="A52" s="38"/>
      <x:c r="B52" s="38"/>
      <x:c r="C52" s="38"/>
      <x:c r="D52" s="38"/>
      <x:c r="E52" s="38"/>
      <x:c r="F52" s="38"/>
      <x:c r="G52" s="38" t="str">
        <x:f>IF(A52="","",IF(OR(B52="",C52="",LEN(E52&amp;"")=0),"Missing scorer field",IF(E52&lt;0,"Negative goals","OK")))</x:f>
      </x:c>
    </x:row>
    <x:row r="53" ht="15" hidden="0" customHeight="1">
      <x:c r="A53" s="38"/>
      <x:c r="B53" s="38"/>
      <x:c r="C53" s="38"/>
      <x:c r="D53" s="38"/>
      <x:c r="E53" s="38"/>
      <x:c r="F53" s="38"/>
      <x:c r="G53" s="38" t="str">
        <x:f>IF(A53="","",IF(OR(B53="",C53="",LEN(E53&amp;"")=0),"Missing scorer field",IF(E53&lt;0,"Negative goals","OK")))</x:f>
      </x:c>
    </x:row>
    <x:row r="54" ht="15" hidden="0" customHeight="1">
      <x:c r="A54" s="38"/>
      <x:c r="B54" s="38"/>
      <x:c r="C54" s="38"/>
      <x:c r="D54" s="38"/>
      <x:c r="E54" s="38"/>
      <x:c r="F54" s="38"/>
      <x:c r="G54" s="38" t="str">
        <x:f>IF(A54="","",IF(OR(B54="",C54="",LEN(E54&amp;"")=0),"Missing scorer field",IF(E54&lt;0,"Negative goals","OK")))</x:f>
      </x:c>
    </x:row>
    <x:row r="55" ht="15" hidden="0" customHeight="1">
      <x:c r="A55" s="38"/>
      <x:c r="B55" s="38"/>
      <x:c r="C55" s="38"/>
      <x:c r="D55" s="38"/>
      <x:c r="E55" s="38"/>
      <x:c r="F55" s="38"/>
      <x:c r="G55" s="38" t="str">
        <x:f>IF(A55="","",IF(OR(B55="",C55="",LEN(E55&amp;"")=0),"Missing scorer field",IF(E55&lt;0,"Negative goals","OK")))</x:f>
      </x:c>
    </x:row>
    <x:row r="56" ht="15" hidden="0" customHeight="1">
      <x:c r="A56" s="38"/>
      <x:c r="B56" s="38"/>
      <x:c r="C56" s="38"/>
      <x:c r="D56" s="38"/>
      <x:c r="E56" s="38"/>
      <x:c r="F56" s="38"/>
      <x:c r="G56" s="38" t="str">
        <x:f>IF(A56="","",IF(OR(B56="",C56="",LEN(E56&amp;"")=0),"Missing scorer field",IF(E56&lt;0,"Negative goals","OK")))</x:f>
      </x:c>
    </x:row>
    <x:row r="57" ht="15" hidden="0" customHeight="1">
      <x:c r="A57" s="38"/>
      <x:c r="B57" s="38"/>
      <x:c r="C57" s="38"/>
      <x:c r="D57" s="38"/>
      <x:c r="E57" s="38"/>
      <x:c r="F57" s="38"/>
      <x:c r="G57" s="38" t="str">
        <x:f>IF(A57="","",IF(OR(B57="",C57="",LEN(E57&amp;"")=0),"Missing scorer field",IF(E57&lt;0,"Negative goals","OK")))</x:f>
      </x:c>
    </x:row>
    <x:row r="58" ht="15" hidden="0" customHeight="1">
      <x:c r="A58" s="38"/>
      <x:c r="B58" s="38"/>
      <x:c r="C58" s="38"/>
      <x:c r="D58" s="38"/>
      <x:c r="E58" s="38"/>
      <x:c r="F58" s="38"/>
      <x:c r="G58" s="38" t="str">
        <x:f>IF(A58="","",IF(OR(B58="",C58="",LEN(E58&amp;"")=0),"Missing scorer field",IF(E58&lt;0,"Negative goals","OK")))</x:f>
      </x:c>
    </x:row>
    <x:row r="59" ht="15" hidden="0" customHeight="1">
      <x:c r="A59" s="38"/>
      <x:c r="B59" s="38"/>
      <x:c r="C59" s="38"/>
      <x:c r="D59" s="38"/>
      <x:c r="E59" s="38"/>
      <x:c r="F59" s="38"/>
      <x:c r="G59" s="38" t="str">
        <x:f>IF(A59="","",IF(OR(B59="",C59="",LEN(E59&amp;"")=0),"Missing scorer field",IF(E59&lt;0,"Negative goals","OK")))</x:f>
      </x:c>
    </x:row>
    <x:row r="60" ht="15" hidden="0" customHeight="1">
      <x:c r="A60" s="38"/>
      <x:c r="B60" s="38"/>
      <x:c r="C60" s="38"/>
      <x:c r="D60" s="38"/>
      <x:c r="E60" s="38"/>
      <x:c r="F60" s="38"/>
      <x:c r="G60" s="38" t="str">
        <x:f>IF(A60="","",IF(OR(B60="",C60="",LEN(E60&amp;"")=0),"Missing scorer field",IF(E60&lt;0,"Negative goals","OK")))</x:f>
      </x:c>
    </x:row>
    <x:row r="61" ht="15" hidden="0" customHeight="1">
      <x:c r="A61" s="38"/>
      <x:c r="B61" s="38"/>
      <x:c r="C61" s="38"/>
      <x:c r="D61" s="38"/>
      <x:c r="E61" s="38"/>
      <x:c r="F61" s="38"/>
      <x:c r="G61" s="38" t="str">
        <x:f>IF(A61="","",IF(OR(B61="",C61="",LEN(E61&amp;"")=0),"Missing scorer field",IF(E61&lt;0,"Negative goals","OK")))</x:f>
      </x:c>
    </x:row>
    <x:row r="62" ht="15" hidden="0" customHeight="1">
      <x:c r="A62" s="38"/>
      <x:c r="B62" s="38"/>
      <x:c r="C62" s="38"/>
      <x:c r="D62" s="38"/>
      <x:c r="E62" s="38"/>
      <x:c r="F62" s="38"/>
      <x:c r="G62" s="38" t="str">
        <x:f>IF(A62="","",IF(OR(B62="",C62="",LEN(E62&amp;"")=0),"Missing scorer field",IF(E62&lt;0,"Negative goals","OK")))</x:f>
      </x:c>
    </x:row>
    <x:row r="63" ht="15" hidden="0" customHeight="1">
      <x:c r="A63" s="38"/>
      <x:c r="B63" s="38"/>
      <x:c r="C63" s="38"/>
      <x:c r="D63" s="38"/>
      <x:c r="E63" s="38"/>
      <x:c r="F63" s="38"/>
      <x:c r="G63" s="38" t="str">
        <x:f>IF(A63="","",IF(OR(B63="",C63="",LEN(E63&amp;"")=0),"Missing scorer field",IF(E63&lt;0,"Negative goals","OK")))</x:f>
      </x:c>
    </x:row>
    <x:row r="64" ht="15" hidden="0" customHeight="1">
      <x:c r="A64" s="38"/>
      <x:c r="B64" s="38"/>
      <x:c r="C64" s="38"/>
      <x:c r="D64" s="38"/>
      <x:c r="E64" s="38"/>
      <x:c r="F64" s="38"/>
      <x:c r="G64" s="38" t="str">
        <x:f>IF(A64="","",IF(OR(B64="",C64="",LEN(E64&amp;"")=0),"Missing scorer field",IF(E64&lt;0,"Negative goals","OK")))</x:f>
      </x:c>
    </x:row>
    <x:row r="65" ht="15" hidden="0" customHeight="1">
      <x:c r="A65" s="38"/>
      <x:c r="B65" s="38"/>
      <x:c r="C65" s="38"/>
      <x:c r="D65" s="38"/>
      <x:c r="E65" s="38"/>
      <x:c r="F65" s="38"/>
      <x:c r="G65" s="38" t="str">
        <x:f>IF(A65="","",IF(OR(B65="",C65="",LEN(E65&amp;"")=0),"Missing scorer field",IF(E65&lt;0,"Negative goals","OK")))</x:f>
      </x:c>
    </x:row>
    <x:row r="66" ht="15" hidden="0" customHeight="1">
      <x:c r="A66" s="38"/>
      <x:c r="B66" s="38"/>
      <x:c r="C66" s="38"/>
      <x:c r="D66" s="38"/>
      <x:c r="E66" s="38"/>
      <x:c r="F66" s="38"/>
      <x:c r="G66" s="38" t="str">
        <x:f>IF(A66="","",IF(OR(B66="",C66="",LEN(E66&amp;"")=0),"Missing scorer field",IF(E66&lt;0,"Negative goals","OK")))</x:f>
      </x:c>
    </x:row>
    <x:row r="67" ht="15" hidden="0" customHeight="1">
      <x:c r="A67" s="38"/>
      <x:c r="B67" s="38"/>
      <x:c r="C67" s="38"/>
      <x:c r="D67" s="38"/>
      <x:c r="E67" s="38"/>
      <x:c r="F67" s="38"/>
      <x:c r="G67" s="38" t="str">
        <x:f>IF(A67="","",IF(OR(B67="",C67="",LEN(E67&amp;"")=0),"Missing scorer field",IF(E67&lt;0,"Negative goals","OK")))</x:f>
      </x:c>
    </x:row>
    <x:row r="68" ht="15" hidden="0" customHeight="1">
      <x:c r="A68" s="38"/>
      <x:c r="B68" s="38"/>
      <x:c r="C68" s="38"/>
      <x:c r="D68" s="38"/>
      <x:c r="E68" s="38"/>
      <x:c r="F68" s="38"/>
      <x:c r="G68" s="38" t="str">
        <x:f>IF(A68="","",IF(OR(B68="",C68="",LEN(E68&amp;"")=0),"Missing scorer field",IF(E68&lt;0,"Negative goals","OK")))</x:f>
      </x:c>
    </x:row>
    <x:row r="69" ht="15" hidden="0" customHeight="1">
      <x:c r="A69" s="38"/>
      <x:c r="B69" s="38"/>
      <x:c r="C69" s="38"/>
      <x:c r="D69" s="38"/>
      <x:c r="E69" s="38"/>
      <x:c r="F69" s="38"/>
      <x:c r="G69" s="38" t="str">
        <x:f>IF(A69="","",IF(OR(B69="",C69="",LEN(E69&amp;"")=0),"Missing scorer field",IF(E69&lt;0,"Negative goals","OK")))</x:f>
      </x:c>
    </x:row>
    <x:row r="70" ht="15" hidden="0" customHeight="1">
      <x:c r="A70" s="38"/>
      <x:c r="B70" s="38"/>
      <x:c r="C70" s="38"/>
      <x:c r="D70" s="38"/>
      <x:c r="E70" s="38"/>
      <x:c r="F70" s="38"/>
      <x:c r="G70" s="38" t="str">
        <x:f>IF(A70="","",IF(OR(B70="",C70="",LEN(E70&amp;"")=0),"Missing scorer field",IF(E70&lt;0,"Negative goals","OK")))</x:f>
      </x:c>
    </x:row>
    <x:row r="71" ht="15" hidden="0" customHeight="1">
      <x:c r="A71" s="38"/>
      <x:c r="B71" s="38"/>
      <x:c r="C71" s="38"/>
      <x:c r="D71" s="38"/>
      <x:c r="E71" s="38"/>
      <x:c r="F71" s="38"/>
      <x:c r="G71" s="38" t="str">
        <x:f>IF(A71="","",IF(OR(B71="",C71="",LEN(E71&amp;"")=0),"Missing scorer field",IF(E71&lt;0,"Negative goals","OK")))</x:f>
      </x:c>
    </x:row>
    <x:row r="72" ht="15" hidden="0" customHeight="1">
      <x:c r="A72" s="38"/>
      <x:c r="B72" s="38"/>
      <x:c r="C72" s="38"/>
      <x:c r="D72" s="38"/>
      <x:c r="E72" s="38"/>
      <x:c r="F72" s="38"/>
      <x:c r="G72" s="38" t="str">
        <x:f>IF(A72="","",IF(OR(B72="",C72="",LEN(E72&amp;"")=0),"Missing scorer field",IF(E72&lt;0,"Negative goals","OK")))</x:f>
      </x:c>
    </x:row>
    <x:row r="73" ht="15" hidden="0" customHeight="1">
      <x:c r="A73" s="38"/>
      <x:c r="B73" s="38"/>
      <x:c r="C73" s="38"/>
      <x:c r="D73" s="38"/>
      <x:c r="E73" s="38"/>
      <x:c r="F73" s="38"/>
      <x:c r="G73" s="38" t="str">
        <x:f>IF(A73="","",IF(OR(B73="",C73="",LEN(E73&amp;"")=0),"Missing scorer field",IF(E73&lt;0,"Negative goals","OK")))</x:f>
      </x:c>
    </x:row>
    <x:row r="74" ht="15" hidden="0" customHeight="1">
      <x:c r="A74" s="38"/>
      <x:c r="B74" s="38"/>
      <x:c r="C74" s="38"/>
      <x:c r="D74" s="38"/>
      <x:c r="E74" s="38"/>
      <x:c r="F74" s="38"/>
      <x:c r="G74" s="38" t="str">
        <x:f>IF(A74="","",IF(OR(B74="",C74="",LEN(E74&amp;"")=0),"Missing scorer field",IF(E74&lt;0,"Negative goals","OK")))</x:f>
      </x:c>
    </x:row>
    <x:row r="75" ht="15" hidden="0" customHeight="1">
      <x:c r="A75" s="38"/>
      <x:c r="B75" s="38"/>
      <x:c r="C75" s="38"/>
      <x:c r="D75" s="38"/>
      <x:c r="E75" s="38"/>
      <x:c r="F75" s="38"/>
      <x:c r="G75" s="38" t="str">
        <x:f>IF(A75="","",IF(OR(B75="",C75="",LEN(E75&amp;"")=0),"Missing scorer field",IF(E75&lt;0,"Negative goals","OK")))</x:f>
      </x:c>
    </x:row>
    <x:row r="76" ht="15" hidden="0" customHeight="1">
      <x:c r="A76" s="38"/>
      <x:c r="B76" s="38"/>
      <x:c r="C76" s="38"/>
      <x:c r="D76" s="38"/>
      <x:c r="E76" s="38"/>
      <x:c r="F76" s="38"/>
      <x:c r="G76" s="38" t="str">
        <x:f>IF(A76="","",IF(OR(B76="",C76="",LEN(E76&amp;"")=0),"Missing scorer field",IF(E76&lt;0,"Negative goals","OK")))</x:f>
      </x:c>
    </x:row>
    <x:row r="77" ht="15" hidden="0" customHeight="1">
      <x:c r="A77" s="38"/>
      <x:c r="B77" s="38"/>
      <x:c r="C77" s="38"/>
      <x:c r="D77" s="38"/>
      <x:c r="E77" s="38"/>
      <x:c r="F77" s="38"/>
      <x:c r="G77" s="38" t="str">
        <x:f>IF(A77="","",IF(OR(B77="",C77="",LEN(E77&amp;"")=0),"Missing scorer field",IF(E77&lt;0,"Negative goals","OK")))</x:f>
      </x:c>
    </x:row>
    <x:row r="78" ht="15" hidden="0" customHeight="1">
      <x:c r="A78" s="38"/>
      <x:c r="B78" s="38"/>
      <x:c r="C78" s="38"/>
      <x:c r="D78" s="38"/>
      <x:c r="E78" s="38"/>
      <x:c r="F78" s="38"/>
      <x:c r="G78" s="38" t="str">
        <x:f>IF(A78="","",IF(OR(B78="",C78="",LEN(E78&amp;"")=0),"Missing scorer field",IF(E78&lt;0,"Negative goals","OK")))</x:f>
      </x:c>
    </x:row>
    <x:row r="79" ht="15" hidden="0" customHeight="1">
      <x:c r="A79" s="38"/>
      <x:c r="B79" s="38"/>
      <x:c r="C79" s="38"/>
      <x:c r="D79" s="38"/>
      <x:c r="E79" s="38"/>
      <x:c r="F79" s="38"/>
      <x:c r="G79" s="38" t="str">
        <x:f>IF(A79="","",IF(OR(B79="",C79="",LEN(E79&amp;"")=0),"Missing scorer field",IF(E79&lt;0,"Negative goals","OK")))</x:f>
      </x:c>
    </x:row>
    <x:row r="80" ht="15" hidden="0" customHeight="1">
      <x:c r="A80" s="38"/>
      <x:c r="B80" s="38"/>
      <x:c r="C80" s="38"/>
      <x:c r="D80" s="38"/>
      <x:c r="E80" s="38"/>
      <x:c r="F80" s="38"/>
      <x:c r="G80" s="38" t="str">
        <x:f>IF(A80="","",IF(OR(B80="",C80="",LEN(E80&amp;"")=0),"Missing scorer field",IF(E80&lt;0,"Negative goals","OK")))</x:f>
      </x:c>
    </x:row>
    <x:row r="81" ht="15" hidden="0" customHeight="1">
      <x:c r="A81" s="38"/>
      <x:c r="B81" s="38"/>
      <x:c r="C81" s="38"/>
      <x:c r="D81" s="38"/>
      <x:c r="E81" s="38"/>
      <x:c r="F81" s="38"/>
      <x:c r="G81" s="38" t="str">
        <x:f>IF(A81="","",IF(OR(B81="",C81="",LEN(E81&amp;"")=0),"Missing scorer field",IF(E81&lt;0,"Negative goals","OK")))</x:f>
      </x:c>
    </x:row>
    <x:row r="82" ht="15" hidden="0" customHeight="1">
      <x:c r="A82" s="38"/>
      <x:c r="B82" s="38"/>
      <x:c r="C82" s="38"/>
      <x:c r="D82" s="38"/>
      <x:c r="E82" s="38"/>
      <x:c r="F82" s="38"/>
      <x:c r="G82" s="38" t="str">
        <x:f>IF(A82="","",IF(OR(B82="",C82="",LEN(E82&amp;"")=0),"Missing scorer field",IF(E82&lt;0,"Negative goals","OK")))</x:f>
      </x:c>
    </x:row>
    <x:row r="83" ht="15" hidden="0" customHeight="1">
      <x:c r="A83" s="38"/>
      <x:c r="B83" s="38"/>
      <x:c r="C83" s="38"/>
      <x:c r="D83" s="38"/>
      <x:c r="E83" s="38"/>
      <x:c r="F83" s="38"/>
      <x:c r="G83" s="38" t="str">
        <x:f>IF(A83="","",IF(OR(B83="",C83="",LEN(E83&amp;"")=0),"Missing scorer field",IF(E83&lt;0,"Negative goals","OK")))</x:f>
      </x:c>
    </x:row>
    <x:row r="84" ht="15" hidden="0" customHeight="1">
      <x:c r="A84" s="38"/>
      <x:c r="B84" s="38"/>
      <x:c r="C84" s="38"/>
      <x:c r="D84" s="38"/>
      <x:c r="E84" s="38"/>
      <x:c r="F84" s="38"/>
      <x:c r="G84" s="38" t="str">
        <x:f>IF(A84="","",IF(OR(B84="",C84="",LEN(E84&amp;"")=0),"Missing scorer field",IF(E84&lt;0,"Negative goals","OK")))</x:f>
      </x:c>
    </x:row>
    <x:row r="85" ht="15" hidden="0" customHeight="1">
      <x:c r="A85" s="38"/>
      <x:c r="B85" s="38"/>
      <x:c r="C85" s="38"/>
      <x:c r="D85" s="38"/>
      <x:c r="E85" s="38"/>
      <x:c r="F85" s="38"/>
      <x:c r="G85" s="38" t="str">
        <x:f>IF(A85="","",IF(OR(B85="",C85="",LEN(E85&amp;"")=0),"Missing scorer field",IF(E85&lt;0,"Negative goals","OK")))</x:f>
      </x:c>
    </x:row>
    <x:row r="86" ht="15" hidden="0" customHeight="1">
      <x:c r="A86" s="38"/>
      <x:c r="B86" s="38"/>
      <x:c r="C86" s="38"/>
      <x:c r="D86" s="38"/>
      <x:c r="E86" s="38"/>
      <x:c r="F86" s="38"/>
      <x:c r="G86" s="38" t="str">
        <x:f>IF(A86="","",IF(OR(B86="",C86="",LEN(E86&amp;"")=0),"Missing scorer field",IF(E86&lt;0,"Negative goals","OK")))</x:f>
      </x:c>
    </x:row>
    <x:row r="87" ht="15" hidden="0" customHeight="1">
      <x:c r="A87" s="38"/>
      <x:c r="B87" s="38"/>
      <x:c r="C87" s="38"/>
      <x:c r="D87" s="38"/>
      <x:c r="E87" s="38"/>
      <x:c r="F87" s="38"/>
      <x:c r="G87" s="38" t="str">
        <x:f>IF(A87="","",IF(OR(B87="",C87="",LEN(E87&amp;"")=0),"Missing scorer field",IF(E87&lt;0,"Negative goals","OK")))</x:f>
      </x:c>
    </x:row>
    <x:row r="88" ht="15" hidden="0" customHeight="1">
      <x:c r="A88" s="38"/>
      <x:c r="B88" s="38"/>
      <x:c r="C88" s="38"/>
      <x:c r="D88" s="38"/>
      <x:c r="E88" s="38"/>
      <x:c r="F88" s="38"/>
      <x:c r="G88" s="38" t="str">
        <x:f>IF(A88="","",IF(OR(B88="",C88="",LEN(E88&amp;"")=0),"Missing scorer field",IF(E88&lt;0,"Negative goals","OK")))</x:f>
      </x:c>
    </x:row>
    <x:row r="89" ht="15" hidden="0" customHeight="1">
      <x:c r="A89" s="38"/>
      <x:c r="B89" s="38"/>
      <x:c r="C89" s="38"/>
      <x:c r="D89" s="38"/>
      <x:c r="E89" s="38"/>
      <x:c r="F89" s="38"/>
      <x:c r="G89" s="38" t="str">
        <x:f>IF(A89="","",IF(OR(B89="",C89="",LEN(E89&amp;"")=0),"Missing scorer field",IF(E89&lt;0,"Negative goals","OK")))</x:f>
      </x:c>
    </x:row>
    <x:row r="90" ht="15" hidden="0" customHeight="1">
      <x:c r="A90" s="38"/>
      <x:c r="B90" s="38"/>
      <x:c r="C90" s="38"/>
      <x:c r="D90" s="38"/>
      <x:c r="E90" s="38"/>
      <x:c r="F90" s="38"/>
      <x:c r="G90" s="38" t="str">
        <x:f>IF(A90="","",IF(OR(B90="",C90="",LEN(E90&amp;"")=0),"Missing scorer field",IF(E90&lt;0,"Negative goals","OK")))</x:f>
      </x:c>
    </x:row>
    <x:row r="91" ht="15" hidden="0" customHeight="1">
      <x:c r="A91" s="38"/>
      <x:c r="B91" s="38"/>
      <x:c r="C91" s="38"/>
      <x:c r="D91" s="38"/>
      <x:c r="E91" s="38"/>
      <x:c r="F91" s="38"/>
      <x:c r="G91" s="38" t="str">
        <x:f>IF(A91="","",IF(OR(B91="",C91="",LEN(E91&amp;"")=0),"Missing scorer field",IF(E91&lt;0,"Negative goals","OK")))</x:f>
      </x:c>
    </x:row>
    <x:row r="92" ht="15" hidden="0" customHeight="1">
      <x:c r="A92" s="38"/>
      <x:c r="B92" s="38"/>
      <x:c r="C92" s="38"/>
      <x:c r="D92" s="38"/>
      <x:c r="E92" s="38"/>
      <x:c r="F92" s="38"/>
      <x:c r="G92" s="38" t="str">
        <x:f>IF(A92="","",IF(OR(B92="",C92="",LEN(E92&amp;"")=0),"Missing scorer field",IF(E92&lt;0,"Negative goals","OK")))</x:f>
      </x:c>
    </x:row>
    <x:row r="93" ht="15" hidden="0" customHeight="1">
      <x:c r="A93" s="38"/>
      <x:c r="B93" s="38"/>
      <x:c r="C93" s="38"/>
      <x:c r="D93" s="38"/>
      <x:c r="E93" s="38"/>
      <x:c r="F93" s="38"/>
      <x:c r="G93" s="38" t="str">
        <x:f>IF(A93="","",IF(OR(B93="",C93="",LEN(E93&amp;"")=0),"Missing scorer field",IF(E93&lt;0,"Negative goals","OK")))</x:f>
      </x:c>
    </x:row>
    <x:row r="94" ht="15" hidden="0" customHeight="1">
      <x:c r="A94" s="38"/>
      <x:c r="B94" s="38"/>
      <x:c r="C94" s="38"/>
      <x:c r="D94" s="38"/>
      <x:c r="E94" s="38"/>
      <x:c r="F94" s="38"/>
      <x:c r="G94" s="38" t="str">
        <x:f>IF(A94="","",IF(OR(B94="",C94="",LEN(E94&amp;"")=0),"Missing scorer field",IF(E94&lt;0,"Negative goals","OK")))</x:f>
      </x:c>
    </x:row>
    <x:row r="95" ht="15" hidden="0" customHeight="1">
      <x:c r="A95" s="38"/>
      <x:c r="B95" s="38"/>
      <x:c r="C95" s="38"/>
      <x:c r="D95" s="38"/>
      <x:c r="E95" s="38"/>
      <x:c r="F95" s="38"/>
      <x:c r="G95" s="38" t="str">
        <x:f>IF(A95="","",IF(OR(B95="",C95="",LEN(E95&amp;"")=0),"Missing scorer field",IF(E95&lt;0,"Negative goals","OK")))</x:f>
      </x:c>
    </x:row>
    <x:row r="96" ht="15" hidden="0" customHeight="1">
      <x:c r="A96" s="38"/>
      <x:c r="B96" s="38"/>
      <x:c r="C96" s="38"/>
      <x:c r="D96" s="38"/>
      <x:c r="E96" s="38"/>
      <x:c r="F96" s="38"/>
      <x:c r="G96" s="38" t="str">
        <x:f>IF(A96="","",IF(OR(B96="",C96="",LEN(E96&amp;"")=0),"Missing scorer field",IF(E96&lt;0,"Negative goals","OK")))</x:f>
      </x:c>
    </x:row>
    <x:row r="97" ht="15" hidden="0" customHeight="1">
      <x:c r="A97" s="38"/>
      <x:c r="B97" s="38"/>
      <x:c r="C97" s="38"/>
      <x:c r="D97" s="38"/>
      <x:c r="E97" s="38"/>
      <x:c r="F97" s="38"/>
      <x:c r="G97" s="38" t="str">
        <x:f>IF(A97="","",IF(OR(B97="",C97="",LEN(E97&amp;"")=0),"Missing scorer field",IF(E97&lt;0,"Negative goals","OK")))</x:f>
      </x:c>
    </x:row>
    <x:row r="98" ht="15" hidden="0" customHeight="1">
      <x:c r="A98" s="38"/>
      <x:c r="B98" s="38"/>
      <x:c r="C98" s="38"/>
      <x:c r="D98" s="38"/>
      <x:c r="E98" s="38"/>
      <x:c r="F98" s="38"/>
      <x:c r="G98" s="38" t="str">
        <x:f>IF(A98="","",IF(OR(B98="",C98="",LEN(E98&amp;"")=0),"Missing scorer field",IF(E98&lt;0,"Negative goals","OK")))</x:f>
      </x:c>
    </x:row>
    <x:row r="99" ht="15" hidden="0" customHeight="1">
      <x:c r="A99" s="38"/>
      <x:c r="B99" s="38"/>
      <x:c r="C99" s="38"/>
      <x:c r="D99" s="38"/>
      <x:c r="E99" s="38"/>
      <x:c r="F99" s="38"/>
      <x:c r="G99" s="38" t="str">
        <x:f>IF(A99="","",IF(OR(B99="",C99="",LEN(E99&amp;"")=0),"Missing scorer field",IF(E99&lt;0,"Negative goals","OK")))</x:f>
      </x:c>
    </x:row>
    <x:row r="100" ht="15" hidden="0" customHeight="1">
      <x:c r="A100" s="38"/>
      <x:c r="B100" s="38"/>
      <x:c r="C100" s="38"/>
      <x:c r="D100" s="38"/>
      <x:c r="E100" s="38"/>
      <x:c r="F100" s="38"/>
      <x:c r="G100" s="38" t="str">
        <x:f>IF(A100="","",IF(OR(B100="",C100="",LEN(E100&amp;"")=0),"Missing scorer field",IF(E100&lt;0,"Negative goals","OK")))</x:f>
      </x:c>
    </x:row>
    <x:row r="101" ht="15" hidden="0" customHeight="1">
      <x:c r="A101" s="38"/>
      <x:c r="B101" s="38"/>
      <x:c r="C101" s="38"/>
      <x:c r="D101" s="38"/>
      <x:c r="E101" s="38"/>
      <x:c r="F101" s="38"/>
      <x:c r="G101" s="38" t="str">
        <x:f>IF(A101="","",IF(OR(B101="",C101="",LEN(E101&amp;"")=0),"Missing scorer field",IF(E101&lt;0,"Negative goals","OK")))</x:f>
      </x:c>
    </x:row>
    <x:row r="102" ht="15" hidden="0" customHeight="1">
      <x:c r="A102" s="38"/>
      <x:c r="B102" s="38"/>
      <x:c r="C102" s="38"/>
      <x:c r="D102" s="38"/>
      <x:c r="E102" s="38"/>
      <x:c r="F102" s="38"/>
      <x:c r="G102" s="38" t="str">
        <x:f>IF(A102="","",IF(OR(B102="",C102="",LEN(E102&amp;"")=0),"Missing scorer field",IF(E102&lt;0,"Negative goals","OK")))</x:f>
      </x:c>
    </x:row>
    <x:row r="103" ht="15" hidden="0" customHeight="1">
      <x:c r="A103" s="38"/>
      <x:c r="B103" s="38"/>
      <x:c r="C103" s="38"/>
      <x:c r="D103" s="38"/>
      <x:c r="E103" s="38"/>
      <x:c r="F103" s="38"/>
      <x:c r="G103" s="38" t="str">
        <x:f>IF(A103="","",IF(OR(B103="",C103="",LEN(E103&amp;"")=0),"Missing scorer field",IF(E103&lt;0,"Negative goals","OK")))</x:f>
      </x:c>
    </x:row>
    <x:row r="104" ht="15" hidden="0" customHeight="1">
      <x:c r="A104" s="38"/>
      <x:c r="B104" s="38"/>
      <x:c r="C104" s="38"/>
      <x:c r="D104" s="38"/>
      <x:c r="E104" s="38"/>
      <x:c r="F104" s="38"/>
      <x:c r="G104" s="38" t="str">
        <x:f>IF(A104="","",IF(OR(B104="",C104="",LEN(E104&amp;"")=0),"Missing scorer field",IF(E104&lt;0,"Negative goals","OK")))</x:f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80a0a3876444f59"/>
  </x:tableParts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5.25" hidden="0" customWidth="1"/>
    <x:col min="2" max="2" width="19.5" hidden="0" customWidth="1"/>
    <x:col min="3" max="3" width="41.5" hidden="0" customWidth="1"/>
    <x:col min="4" max="4" width="4.130000114440918" hidden="0" customWidth="1"/>
    <x:col min="5" max="5" width="4.630000114440918" hidden="0" customWidth="1"/>
    <x:col min="6" max="6" width="4.25" hidden="0" customWidth="1"/>
    <x:col min="7" max="7" width="4.130000114440918" hidden="0" customWidth="1"/>
    <x:col min="8" max="8" width="5.380000114440918" hidden="0" customWidth="1"/>
    <x:col min="9" max="9" width="5.5" hidden="0" customWidth="1"/>
    <x:col min="10" max="10" width="5.5" hidden="0" customWidth="1"/>
    <x:col min="11" max="11" width="5.630000114440918" hidden="0" customWidth="1"/>
    <x:col min="13" max="13" width="4.630000114440918" hidden="0" customWidth="1"/>
    <x:col min="14" max="14" width="17" hidden="0" customWidth="1"/>
    <x:col min="15" max="15" width="4.75" hidden="0" customWidth="1"/>
    <x:col min="16" max="16" width="5.25" hidden="0" customWidth="1"/>
    <x:col min="17" max="17" width="18" hidden="0" customWidth="1"/>
    <x:col min="18" max="18" width="17" hidden="0" customWidth="1"/>
    <x:col min="19" max="19" width="18.3799991607666" hidden="0" customWidth="1"/>
    <x:col min="20" max="20" width="16.1299991607666" hidden="0" customWidth="1"/>
    <x:col min="21" max="21" width="16.6299991607666" hidden="0" customWidth="1"/>
    <x:col min="22" max="22" width="18.75" hidden="0" customWidth="1"/>
  </x:cols>
  <x:sheetData>
    <x:row r="1" ht="15" hidden="0" customHeight="1">
      <x:c r="A1" s="47" t="str">
        <x:v>Reports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</x:row>
    <x:row r="2" ht="15" hidden="0" customHeight="1">
      <x:c r="A2" s="38" t="str">
        <x:v>Report-ready outputs. Public reports should exclude submitter details and private notes.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</x:row>
    <x:row r="4" ht="15" hidden="0" customHeight="1">
      <x:c r="A4" s="39" t="str">
        <x:v>Metric</x:v>
      </x:c>
      <x:c r="B4" s="40" t="str">
        <x:v>Value</x:v>
      </x:c>
      <x:c r="C4" s="41" t="str">
        <x:v>Notes</x:v>
      </x:c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</x:row>
    <x:row r="5" ht="15" hidden="0" customHeight="1">
      <x:c r="A5" s="48" t="str">
        <x:v>Competition ID</x:v>
      </x:c>
      <x:c r="B5" s="38" t="str">
        <x:f>Setup!B5</x:f>
        <x:v>C001</x:v>
      </x:c>
      <x:c r="C5" s="49" t="str">
        <x:v>Stable prototype competition ID.</x:v>
      </x:c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</x:row>
    <x:row r="6" ht="15" hidden="0" customHeight="1">
      <x:c r="A6" s="48" t="str">
        <x:v>Competition Name</x:v>
      </x:c>
      <x:c r="B6" s="38" t="str">
        <x:f>Setup!B6</x:f>
        <x:v>Example Community Cup</x:v>
      </x:c>
      <x:c r="C6" s="49" t="str">
        <x:v>Public/report-ready name.</x:v>
      </x:c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</x:row>
    <x:row r="7" ht="15" hidden="0" customHeight="1">
      <x:c r="A7" s="48" t="str">
        <x:v>Season</x:v>
      </x:c>
      <x:c r="B7" s="38" t="str">
        <x:f>Setup!B7</x:f>
        <x:v>July 2026 Demo</x:v>
      </x:c>
      <x:c r="C7" s="49" t="str">
        <x:v>Season or tournament label.</x:v>
      </x:c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</x:row>
    <x:row r="8" ht="15" hidden="0" customHeight="1">
      <x:c r="A8" s="48" t="str">
        <x:v>Approved Current Results</x:v>
      </x:c>
      <x:c r="B8" s="38" t="n">
        <x:f>COUNTIF('Result Review'!R5:R204,"Approved Current")</x:f>
        <x:v>5</x:v>
      </x:c>
      <x:c r="C8" s="49" t="str">
        <x:v>From Result Review only.</x:v>
      </x:c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</x:row>
    <x:row r="9" ht="15" hidden="0" customHeight="1">
      <x:c r="A9" s="48" t="str">
        <x:v>Fixtures Included In Form Sync</x:v>
      </x:c>
      <x:c r="B9" s="38" t="n">
        <x:f>COUNTIF(Fixtures!N5:N204,"Yes")</x:f>
        <x:v>5</x:v>
      </x:c>
      <x:c r="C9" s="49" t="str">
        <x:v>Scheduled fixtures with resolved teams and venue only.</x:v>
      </x:c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</x:row>
    <x:row r="10" ht="15" hidden="0" customHeight="1">
      <x:c r="A10" s="50" t="str">
        <x:v>Validation Issues</x:v>
      </x:c>
      <x:c r="B10" s="51" t="n">
        <x:f>COUNTIF(Validation!D5:D40,"Issue")</x:f>
        <x:v>1</x:v>
      </x:c>
      <x:c r="C10" s="52" t="str">
        <x:v>Review before publishing.</x:v>
      </x:c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</x:row>
    <x:row r="11" ht="15" hidden="0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</x:row>
    <x:row r="12" ht="15" hidden="0" customHeight="1">
      <x:c r="A12" s="39" t="str">
        <x:v>Division/Group</x:v>
      </x:c>
      <x:c r="B12" s="40" t="str">
        <x:v>Rank</x:v>
      </x:c>
      <x:c r="C12" s="40" t="str">
        <x:v>Team</x:v>
      </x:c>
      <x:c r="D12" s="40" t="str">
        <x:v>P</x:v>
      </x:c>
      <x:c r="E12" s="40" t="str">
        <x:v>W</x:v>
      </x:c>
      <x:c r="F12" s="40" t="str">
        <x:v>D</x:v>
      </x:c>
      <x:c r="G12" s="40" t="str">
        <x:v>L</x:v>
      </x:c>
      <x:c r="H12" s="40" t="str">
        <x:v>GF</x:v>
      </x:c>
      <x:c r="I12" s="40" t="str">
        <x:v>GA</x:v>
      </x:c>
      <x:c r="J12" s="40" t="str">
        <x:v>GD</x:v>
      </x:c>
      <x:c r="K12" s="41" t="str">
        <x:v>Pts</x:v>
      </x:c>
      <x:c r="L12" s="38"/>
      <x:c r="M12" s="39" t="str">
        <x:v>Rank</x:v>
      </x:c>
      <x:c r="N12" s="40" t="str">
        <x:v>Player Display Name</x:v>
      </x:c>
      <x:c r="O12" s="40" t="str">
        <x:v>Team</x:v>
      </x:c>
      <x:c r="P12" s="41" t="str">
        <x:v>Goals</x:v>
      </x:c>
      <x:c r="Q12" s="68" t="str">
        <x:v>Leaderboard Sort Key</x:v>
      </x:c>
      <x:c r="R12" s="69" t="str">
        <x:v>Scorer Helper Player</x:v>
      </x:c>
      <x:c r="S12" s="70" t="str">
        <x:v>Scorer Helper Team ID</x:v>
      </x:c>
      <x:c r="T12" s="70" t="str">
        <x:v>Scorer Helper Team</x:v>
      </x:c>
      <x:c r="U12" s="70" t="str">
        <x:v>Scorer Helper Goals</x:v>
      </x:c>
      <x:c r="V12" s="71" t="str">
        <x:v>Scorer Helper Sort Key</x:v>
      </x:c>
    </x:row>
    <x:row r="13" ht="15" hidden="0" customHeight="1">
      <x:c r="A13" s="48" t="str">
        <x:f>Standings!A5</x:f>
      </x:c>
      <x:c r="B13" s="38" t="str">
        <x:f>Standings!B5</x:f>
      </x:c>
      <x:c r="C13" s="38" t="str">
        <x:f>Standings!D5</x:f>
      </x:c>
      <x:c r="D13" s="38" t="str">
        <x:f>Standings!E5</x:f>
      </x:c>
      <x:c r="E13" s="38" t="str">
        <x:f>Standings!F5</x:f>
      </x:c>
      <x:c r="F13" s="38" t="str">
        <x:f>Standings!G5</x:f>
      </x:c>
      <x:c r="G13" s="38" t="str">
        <x:f>Standings!H5</x:f>
      </x:c>
      <x:c r="H13" s="38" t="str">
        <x:f>Standings!I5</x:f>
      </x:c>
      <x:c r="I13" s="38" t="str">
        <x:f>Standings!J5</x:f>
      </x:c>
      <x:c r="J13" s="38" t="str">
        <x:f>Standings!K5</x:f>
      </x:c>
      <x:c r="K13" s="49" t="str">
        <x:f>Standings!L5</x:f>
      </x:c>
      <x:c r="L13" s="38"/>
      <x:c r="M13" s="38" t="str">
        <x:f>IF(N13="","",1)</x:f>
      </x:c>
      <x:c r="N13" s="38" t="str">
        <x:f>IF($Q13="","",INDEX($R$13:$U$112,MATCH($Q13,$V$13:$V$112,0),1))</x:f>
      </x:c>
      <x:c r="O13" s="38" t="str">
        <x:f>IF($Q13="","",INDEX($R$13:$U$112,MATCH($Q13,$V$13:$V$112,0),3))</x:f>
      </x:c>
      <x:c r="P13" s="38" t="str">
        <x:f>IF($Q13="","",INDEX($R$13:$U$112,MATCH($Q13,$V$13:$V$112,0),4))</x:f>
      </x:c>
      <x:c r="Q13" s="38" t="str">
        <x:f>IFERROR(SMALL($V$13:$V$112,ROWS($Q$13:Q13)),"")</x:f>
      </x:c>
      <x:c r="R13" s="38" t="str">
        <x:f>IF(OR('Goal Scorers'!C5="",'Goal Scorers'!C5="Walkover",'Goal Scorers'!E5&lt;=0,COUNTIFS('Goal Scorers'!$C$5:C5,'Goal Scorers'!C5,'Goal Scorers'!$B$5:B5,'Goal Scorers'!B5)&gt;1),"",'Goal Scorers'!C5)</x:f>
        <x:v>Sam A</x:v>
      </x:c>
      <x:c r="S13" s="38" t="str">
        <x:f>IF(R13="","",'Goal Scorers'!B5)</x:f>
        <x:v>T001</x:v>
      </x:c>
      <x:c r="T13" s="38" t="str">
        <x:f>IF(R13="","",XLOOKUP(S13,Teams!$A$5:$A$36,Teams!$C$5:$C$36,""))</x:f>
        <x:v>River Park</x:v>
      </x:c>
      <x:c r="U13" s="38" t="n">
        <x:f>IF(R13="","",SUMIFS('Goal Scorers'!$E$5:$E$104,'Goal Scorers'!$C$5:$C$104,R13,'Goal Scorers'!$B$5:$B$104,S13))</x:f>
        <x:v>1</x:v>
      </x:c>
      <x:c r="V13" s="38" t="n">
        <x:f>IF(R13="","",COUNTIF($U$13:$U$112,"&gt;"&amp;U13)*100000+COUNTIFS($U$13:$U$112,U13,$R$13:$R$112,"&lt;="&amp;R13)*100+COUNTIFS($U$13:$U$112,U13,$R$13:$R$112,R13,$T$13:$T$112,"&lt;="&amp;T13))</x:f>
        <x:v>100201</x:v>
      </x:c>
    </x:row>
    <x:row r="14" ht="15" hidden="0" customHeight="1">
      <x:c r="A14" s="48" t="str">
        <x:f>Standings!A6</x:f>
      </x:c>
      <x:c r="B14" s="38" t="str">
        <x:f>Standings!B6</x:f>
      </x:c>
      <x:c r="C14" s="38" t="str">
        <x:f>Standings!D6</x:f>
      </x:c>
      <x:c r="D14" s="38" t="str">
        <x:f>Standings!E6</x:f>
      </x:c>
      <x:c r="E14" s="38" t="str">
        <x:f>Standings!F6</x:f>
      </x:c>
      <x:c r="F14" s="38" t="str">
        <x:f>Standings!G6</x:f>
      </x:c>
      <x:c r="G14" s="38" t="str">
        <x:f>Standings!H6</x:f>
      </x:c>
      <x:c r="H14" s="38" t="str">
        <x:f>Standings!I6</x:f>
      </x:c>
      <x:c r="I14" s="38" t="str">
        <x:f>Standings!J6</x:f>
      </x:c>
      <x:c r="J14" s="38" t="str">
        <x:f>Standings!K6</x:f>
      </x:c>
      <x:c r="K14" s="49" t="str">
        <x:f>Standings!L6</x:f>
      </x:c>
      <x:c r="L14" s="38"/>
      <x:c r="M14" s="38" t="str">
        <x:f>IF(N14="","",2)</x:f>
      </x:c>
      <x:c r="N14" s="38" t="str">
        <x:f>IF($Q14="","",INDEX($R$13:$U$112,MATCH($Q14,$V$13:$V$112,0),1))</x:f>
      </x:c>
      <x:c r="O14" s="38" t="str">
        <x:f>IF($Q14="","",INDEX($R$13:$U$112,MATCH($Q14,$V$13:$V$112,0),3))</x:f>
      </x:c>
      <x:c r="P14" s="38" t="str">
        <x:f>IF($Q14="","",INDEX($R$13:$U$112,MATCH($Q14,$V$13:$V$112,0),4))</x:f>
      </x:c>
      <x:c r="Q14" s="38" t="str">
        <x:f>IFERROR(SMALL($V$13:$V$112,ROWS($Q$13:Q14)),"")</x:f>
      </x:c>
      <x:c r="R14" s="38" t="str">
        <x:f>IF(OR('Goal Scorers'!C6="",'Goal Scorers'!C6="Walkover",'Goal Scorers'!E6&lt;=0,COUNTIFS('Goal Scorers'!$C$5:C6,'Goal Scorers'!C6,'Goal Scorers'!$B$5:B6,'Goal Scorers'!B6)&gt;1),"",'Goal Scorers'!C6)</x:f>
        <x:v>Leo B</x:v>
      </x:c>
      <x:c r="S14" s="38" t="str">
        <x:f>IF(R14="","",'Goal Scorers'!B6)</x:f>
        <x:v>T001</x:v>
      </x:c>
      <x:c r="T14" s="38" t="str">
        <x:f>IF(R14="","",XLOOKUP(S14,Teams!$A$5:$A$36,Teams!$C$5:$C$36,""))</x:f>
        <x:v>River Park</x:v>
      </x:c>
      <x:c r="U14" s="38" t="n">
        <x:f>IF(R14="","",SUMIFS('Goal Scorers'!$E$5:$E$104,'Goal Scorers'!$C$5:$C$104,R14,'Goal Scorers'!$B$5:$B$104,S14))</x:f>
        <x:v>1</x:v>
      </x:c>
      <x:c r="V14" s="38" t="n">
        <x:f>IF(R14="","",COUNTIF($U$13:$U$112,"&gt;"&amp;U14)*100000+COUNTIFS($U$13:$U$112,U14,$R$13:$R$112,"&lt;="&amp;R14)*100+COUNTIFS($U$13:$U$112,U14,$R$13:$R$112,R14,$T$13:$T$112,"&lt;="&amp;T14))</x:f>
        <x:v>100101</x:v>
      </x:c>
    </x:row>
    <x:row r="15" ht="15" hidden="0" customHeight="1">
      <x:c r="A15" s="48" t="str">
        <x:f>Standings!A7</x:f>
      </x:c>
      <x:c r="B15" s="38" t="str">
        <x:f>Standings!B7</x:f>
      </x:c>
      <x:c r="C15" s="38" t="str">
        <x:f>Standings!D7</x:f>
      </x:c>
      <x:c r="D15" s="38" t="str">
        <x:f>Standings!E7</x:f>
      </x:c>
      <x:c r="E15" s="38" t="str">
        <x:f>Standings!F7</x:f>
      </x:c>
      <x:c r="F15" s="38" t="str">
        <x:f>Standings!G7</x:f>
      </x:c>
      <x:c r="G15" s="38" t="str">
        <x:f>Standings!H7</x:f>
      </x:c>
      <x:c r="H15" s="38" t="str">
        <x:f>Standings!I7</x:f>
      </x:c>
      <x:c r="I15" s="38" t="str">
        <x:f>Standings!J7</x:f>
      </x:c>
      <x:c r="J15" s="38" t="str">
        <x:f>Standings!K7</x:f>
      </x:c>
      <x:c r="K15" s="49" t="str">
        <x:f>Standings!L7</x:f>
      </x:c>
      <x:c r="L15" s="38"/>
      <x:c r="M15" s="38" t="str">
        <x:f>IF(N15="","",3)</x:f>
      </x:c>
      <x:c r="N15" s="38" t="str">
        <x:f>IF($Q15="","",INDEX($R$13:$U$112,MATCH($Q15,$V$13:$V$112,0),1))</x:f>
      </x:c>
      <x:c r="O15" s="38" t="str">
        <x:f>IF($Q15="","",INDEX($R$13:$U$112,MATCH($Q15,$V$13:$V$112,0),3))</x:f>
      </x:c>
      <x:c r="P15" s="38" t="str">
        <x:f>IF($Q15="","",INDEX($R$13:$U$112,MATCH($Q15,$V$13:$V$112,0),4))</x:f>
      </x:c>
      <x:c r="Q15" s="38" t="str">
        <x:f>IFERROR(SMALL($V$13:$V$112,ROWS($Q$13:Q15)),"")</x:f>
      </x:c>
      <x:c r="R15" s="38" t="str">
        <x:f>IF(OR('Goal Scorers'!C7="",'Goal Scorers'!C7="Walkover",'Goal Scorers'!E7&lt;=0,COUNTIFS('Goal Scorers'!$C$5:C7,'Goal Scorers'!C7,'Goal Scorers'!$B$5:B7,'Goal Scorers'!B7)&gt;1),"",'Goal Scorers'!C7)</x:f>
        <x:v>Niko C</x:v>
      </x:c>
      <x:c r="S15" s="38" t="str">
        <x:f>IF(R15="","",'Goal Scorers'!B7)</x:f>
        <x:v>T002</x:v>
      </x:c>
      <x:c r="T15" s="38" t="str">
        <x:f>IF(R15="","",XLOOKUP(S15,Teams!$A$5:$A$36,Teams!$C$5:$C$36,""))</x:f>
        <x:v>Lakeside</x:v>
      </x:c>
      <x:c r="U15" s="38" t="n">
        <x:f>IF(R15="","",SUMIFS('Goal Scorers'!$E$5:$E$104,'Goal Scorers'!$C$5:$C$104,R15,'Goal Scorers'!$B$5:$B$104,S15))</x:f>
        <x:v>2</x:v>
      </x:c>
      <x:c r="V15" s="38" t="n">
        <x:f>IF(R15="","",COUNTIF($U$13:$U$112,"&gt;"&amp;U15)*100000+COUNTIFS($U$13:$U$112,U15,$R$13:$R$112,"&lt;="&amp;R15)*100+COUNTIFS($U$13:$U$112,U15,$R$13:$R$112,R15,$T$13:$T$112,"&lt;="&amp;T15))</x:f>
        <x:v>101</x:v>
      </x:c>
    </x:row>
    <x:row r="16" ht="15" hidden="0" customHeight="1">
      <x:c r="A16" s="48" t="str">
        <x:f>Standings!A8</x:f>
      </x:c>
      <x:c r="B16" s="38" t="str">
        <x:f>Standings!B8</x:f>
      </x:c>
      <x:c r="C16" s="38" t="str">
        <x:f>Standings!D8</x:f>
      </x:c>
      <x:c r="D16" s="38" t="str">
        <x:f>Standings!E8</x:f>
      </x:c>
      <x:c r="E16" s="38" t="str">
        <x:f>Standings!F8</x:f>
      </x:c>
      <x:c r="F16" s="38" t="str">
        <x:f>Standings!G8</x:f>
      </x:c>
      <x:c r="G16" s="38" t="str">
        <x:f>Standings!H8</x:f>
      </x:c>
      <x:c r="H16" s="38" t="str">
        <x:f>Standings!I8</x:f>
      </x:c>
      <x:c r="I16" s="38" t="str">
        <x:f>Standings!J8</x:f>
      </x:c>
      <x:c r="J16" s="38" t="str">
        <x:f>Standings!K8</x:f>
      </x:c>
      <x:c r="K16" s="49" t="str">
        <x:f>Standings!L8</x:f>
      </x:c>
      <x:c r="L16" s="38"/>
      <x:c r="M16" s="38" t="str">
        <x:f>IF(N16="","",4)</x:f>
      </x:c>
      <x:c r="N16" s="38" t="str">
        <x:f>IF($Q16="","",INDEX($R$13:$U$112,MATCH($Q16,$V$13:$V$112,0),1))</x:f>
      </x:c>
      <x:c r="O16" s="38" t="str">
        <x:f>IF($Q16="","",INDEX($R$13:$U$112,MATCH($Q16,$V$13:$V$112,0),3))</x:f>
      </x:c>
      <x:c r="P16" s="38" t="str">
        <x:f>IF($Q16="","",INDEX($R$13:$U$112,MATCH($Q16,$V$13:$V$112,0),4))</x:f>
      </x:c>
      <x:c r="Q16" s="38" t="str">
        <x:f>IFERROR(SMALL($V$13:$V$112,ROWS($Q$13:Q16)),"")</x:f>
      </x:c>
      <x:c r="R16" s="38" t="str">
        <x:f>IF(OR('Goal Scorers'!C8="",'Goal Scorers'!C8="Walkover",'Goal Scorers'!E8&lt;=0,COUNTIFS('Goal Scorers'!$C$5:C8,'Goal Scorers'!C8,'Goal Scorers'!$B$5:B8,'Goal Scorers'!B8)&gt;1),"",'Goal Scorers'!C8)</x:f>
      </x:c>
      <x:c r="S16" s="38" t="str">
        <x:f>IF(R16="","",'Goal Scorers'!B8)</x:f>
      </x:c>
      <x:c r="T16" s="38" t="str">
        <x:f>IF(R16="","",XLOOKUP(S16,Teams!$A$5:$A$36,Teams!$C$5:$C$36,""))</x:f>
      </x:c>
      <x:c r="U16" s="38" t="str">
        <x:f>IF(R16="","",SUMIFS('Goal Scorers'!$E$5:$E$104,'Goal Scorers'!$C$5:$C$104,R16,'Goal Scorers'!$B$5:$B$104,S16))</x:f>
      </x:c>
      <x:c r="V16" s="38" t="str">
        <x:f>IF(R16="","",COUNTIF($U$13:$U$112,"&gt;"&amp;U16)*100000+COUNTIFS($U$13:$U$112,U16,$R$13:$R$112,"&lt;="&amp;R16)*100+COUNTIFS($U$13:$U$112,U16,$R$13:$R$112,R16,$T$13:$T$112,"&lt;="&amp;T16))</x:f>
      </x:c>
    </x:row>
    <x:row r="17" ht="15" hidden="0" customHeight="1">
      <x:c r="A17" s="48" t="str">
        <x:f>Standings!A9</x:f>
      </x:c>
      <x:c r="B17" s="38" t="str">
        <x:f>Standings!B9</x:f>
      </x:c>
      <x:c r="C17" s="38" t="str">
        <x:f>Standings!D9</x:f>
      </x:c>
      <x:c r="D17" s="38" t="str">
        <x:f>Standings!E9</x:f>
      </x:c>
      <x:c r="E17" s="38" t="str">
        <x:f>Standings!F9</x:f>
      </x:c>
      <x:c r="F17" s="38" t="str">
        <x:f>Standings!G9</x:f>
      </x:c>
      <x:c r="G17" s="38" t="str">
        <x:f>Standings!H9</x:f>
      </x:c>
      <x:c r="H17" s="38" t="str">
        <x:f>Standings!I9</x:f>
      </x:c>
      <x:c r="I17" s="38" t="str">
        <x:f>Standings!J9</x:f>
      </x:c>
      <x:c r="J17" s="38" t="str">
        <x:f>Standings!K9</x:f>
      </x:c>
      <x:c r="K17" s="49" t="str">
        <x:f>Standings!L9</x:f>
      </x:c>
      <x:c r="L17" s="38"/>
      <x:c r="M17" s="38" t="str">
        <x:f>IF(N17="","",5)</x:f>
      </x:c>
      <x:c r="N17" s="38" t="str">
        <x:f>IF($Q17="","",INDEX($R$13:$U$112,MATCH($Q17,$V$13:$V$112,0),1))</x:f>
      </x:c>
      <x:c r="O17" s="38" t="str">
        <x:f>IF($Q17="","",INDEX($R$13:$U$112,MATCH($Q17,$V$13:$V$112,0),3))</x:f>
      </x:c>
      <x:c r="P17" s="38" t="str">
        <x:f>IF($Q17="","",INDEX($R$13:$U$112,MATCH($Q17,$V$13:$V$112,0),4))</x:f>
      </x:c>
      <x:c r="Q17" s="38" t="str">
        <x:f>IFERROR(SMALL($V$13:$V$112,ROWS($Q$13:Q17)),"")</x:f>
      </x:c>
      <x:c r="R17" s="38" t="str">
        <x:f>IF(OR('Goal Scorers'!C9="",'Goal Scorers'!C9="Walkover",'Goal Scorers'!E9&lt;=0,COUNTIFS('Goal Scorers'!$C$5:C9,'Goal Scorers'!C9,'Goal Scorers'!$B$5:B9,'Goal Scorers'!B9)&gt;1),"",'Goal Scorers'!C9)</x:f>
      </x:c>
      <x:c r="S17" s="38" t="str">
        <x:f>IF(R17="","",'Goal Scorers'!B9)</x:f>
      </x:c>
      <x:c r="T17" s="38" t="str">
        <x:f>IF(R17="","",XLOOKUP(S17,Teams!$A$5:$A$36,Teams!$C$5:$C$36,""))</x:f>
      </x:c>
      <x:c r="U17" s="38" t="str">
        <x:f>IF(R17="","",SUMIFS('Goal Scorers'!$E$5:$E$104,'Goal Scorers'!$C$5:$C$104,R17,'Goal Scorers'!$B$5:$B$104,S17))</x:f>
      </x:c>
      <x:c r="V17" s="38" t="str">
        <x:f>IF(R17="","",COUNTIF($U$13:$U$112,"&gt;"&amp;U17)*100000+COUNTIFS($U$13:$U$112,U17,$R$13:$R$112,"&lt;="&amp;R17)*100+COUNTIFS($U$13:$U$112,U17,$R$13:$R$112,R17,$T$13:$T$112,"&lt;="&amp;T17))</x:f>
      </x:c>
    </x:row>
    <x:row r="18" ht="15" hidden="0" customHeight="1">
      <x:c r="A18" s="48" t="str">
        <x:f>Standings!A10</x:f>
      </x:c>
      <x:c r="B18" s="38" t="str">
        <x:f>Standings!B10</x:f>
      </x:c>
      <x:c r="C18" s="38" t="str">
        <x:f>Standings!D10</x:f>
      </x:c>
      <x:c r="D18" s="38" t="str">
        <x:f>Standings!E10</x:f>
      </x:c>
      <x:c r="E18" s="38" t="str">
        <x:f>Standings!F10</x:f>
      </x:c>
      <x:c r="F18" s="38" t="str">
        <x:f>Standings!G10</x:f>
      </x:c>
      <x:c r="G18" s="38" t="str">
        <x:f>Standings!H10</x:f>
      </x:c>
      <x:c r="H18" s="38" t="str">
        <x:f>Standings!I10</x:f>
      </x:c>
      <x:c r="I18" s="38" t="str">
        <x:f>Standings!J10</x:f>
      </x:c>
      <x:c r="J18" s="38" t="str">
        <x:f>Standings!K10</x:f>
      </x:c>
      <x:c r="K18" s="49" t="str">
        <x:f>Standings!L10</x:f>
      </x:c>
      <x:c r="L18" s="38"/>
      <x:c r="M18" s="38" t="str">
        <x:f>IF(N18="","",6)</x:f>
      </x:c>
      <x:c r="N18" s="38" t="str">
        <x:f>IF($Q18="","",INDEX($R$13:$U$112,MATCH($Q18,$V$13:$V$112,0),1))</x:f>
      </x:c>
      <x:c r="O18" s="38" t="str">
        <x:f>IF($Q18="","",INDEX($R$13:$U$112,MATCH($Q18,$V$13:$V$112,0),3))</x:f>
      </x:c>
      <x:c r="P18" s="38" t="str">
        <x:f>IF($Q18="","",INDEX($R$13:$U$112,MATCH($Q18,$V$13:$V$112,0),4))</x:f>
      </x:c>
      <x:c r="Q18" s="38" t="str">
        <x:f>IFERROR(SMALL($V$13:$V$112,ROWS($Q$13:Q18)),"")</x:f>
      </x:c>
      <x:c r="R18" s="38" t="str">
        <x:f>IF(OR('Goal Scorers'!C10="",'Goal Scorers'!C10="Walkover",'Goal Scorers'!E10&lt;=0,COUNTIFS('Goal Scorers'!$C$5:C10,'Goal Scorers'!C10,'Goal Scorers'!$B$5:B10,'Goal Scorers'!B10)&gt;1),"",'Goal Scorers'!C10)</x:f>
      </x:c>
      <x:c r="S18" s="38" t="str">
        <x:f>IF(R18="","",'Goal Scorers'!B10)</x:f>
      </x:c>
      <x:c r="T18" s="38" t="str">
        <x:f>IF(R18="","",XLOOKUP(S18,Teams!$A$5:$A$36,Teams!$C$5:$C$36,""))</x:f>
      </x:c>
      <x:c r="U18" s="38" t="str">
        <x:f>IF(R18="","",SUMIFS('Goal Scorers'!$E$5:$E$104,'Goal Scorers'!$C$5:$C$104,R18,'Goal Scorers'!$B$5:$B$104,S18))</x:f>
      </x:c>
      <x:c r="V18" s="38" t="str">
        <x:f>IF(R18="","",COUNTIF($U$13:$U$112,"&gt;"&amp;U18)*100000+COUNTIFS($U$13:$U$112,U18,$R$13:$R$112,"&lt;="&amp;R18)*100+COUNTIFS($U$13:$U$112,U18,$R$13:$R$112,R18,$T$13:$T$112,"&lt;="&amp;T18))</x:f>
      </x:c>
    </x:row>
    <x:row r="19" ht="15" hidden="0" customHeight="1">
      <x:c r="A19" s="48" t="str">
        <x:f>Standings!A11</x:f>
      </x:c>
      <x:c r="B19" s="38" t="str">
        <x:f>Standings!B11</x:f>
      </x:c>
      <x:c r="C19" s="38" t="str">
        <x:f>Standings!D11</x:f>
      </x:c>
      <x:c r="D19" s="38" t="str">
        <x:f>Standings!E11</x:f>
      </x:c>
      <x:c r="E19" s="38" t="str">
        <x:f>Standings!F11</x:f>
      </x:c>
      <x:c r="F19" s="38" t="str">
        <x:f>Standings!G11</x:f>
      </x:c>
      <x:c r="G19" s="38" t="str">
        <x:f>Standings!H11</x:f>
      </x:c>
      <x:c r="H19" s="38" t="str">
        <x:f>Standings!I11</x:f>
      </x:c>
      <x:c r="I19" s="38" t="str">
        <x:f>Standings!J11</x:f>
      </x:c>
      <x:c r="J19" s="38" t="str">
        <x:f>Standings!K11</x:f>
      </x:c>
      <x:c r="K19" s="49" t="str">
        <x:f>Standings!L11</x:f>
      </x:c>
      <x:c r="L19" s="38"/>
      <x:c r="M19" s="38" t="str">
        <x:f>IF(N19="","",7)</x:f>
      </x:c>
      <x:c r="N19" s="38" t="str">
        <x:f>IF($Q19="","",INDEX($R$13:$U$112,MATCH($Q19,$V$13:$V$112,0),1))</x:f>
      </x:c>
      <x:c r="O19" s="38" t="str">
        <x:f>IF($Q19="","",INDEX($R$13:$U$112,MATCH($Q19,$V$13:$V$112,0),3))</x:f>
      </x:c>
      <x:c r="P19" s="38" t="str">
        <x:f>IF($Q19="","",INDEX($R$13:$U$112,MATCH($Q19,$V$13:$V$112,0),4))</x:f>
      </x:c>
      <x:c r="Q19" s="38" t="str">
        <x:f>IFERROR(SMALL($V$13:$V$112,ROWS($Q$13:Q19)),"")</x:f>
      </x:c>
      <x:c r="R19" s="38" t="str">
        <x:f>IF(OR('Goal Scorers'!C11="",'Goal Scorers'!C11="Walkover",'Goal Scorers'!E11&lt;=0,COUNTIFS('Goal Scorers'!$C$5:C11,'Goal Scorers'!C11,'Goal Scorers'!$B$5:B11,'Goal Scorers'!B11)&gt;1),"",'Goal Scorers'!C11)</x:f>
      </x:c>
      <x:c r="S19" s="38" t="str">
        <x:f>IF(R19="","",'Goal Scorers'!B11)</x:f>
      </x:c>
      <x:c r="T19" s="38" t="str">
        <x:f>IF(R19="","",XLOOKUP(S19,Teams!$A$5:$A$36,Teams!$C$5:$C$36,""))</x:f>
      </x:c>
      <x:c r="U19" s="38" t="str">
        <x:f>IF(R19="","",SUMIFS('Goal Scorers'!$E$5:$E$104,'Goal Scorers'!$C$5:$C$104,R19,'Goal Scorers'!$B$5:$B$104,S19))</x:f>
      </x:c>
      <x:c r="V19" s="38" t="str">
        <x:f>IF(R19="","",COUNTIF($U$13:$U$112,"&gt;"&amp;U19)*100000+COUNTIFS($U$13:$U$112,U19,$R$13:$R$112,"&lt;="&amp;R19)*100+COUNTIFS($U$13:$U$112,U19,$R$13:$R$112,R19,$T$13:$T$112,"&lt;="&amp;T19))</x:f>
      </x:c>
    </x:row>
    <x:row r="20" ht="15" hidden="0" customHeight="1">
      <x:c r="A20" s="48" t="str">
        <x:f>Standings!A12</x:f>
      </x:c>
      <x:c r="B20" s="38" t="str">
        <x:f>Standings!B12</x:f>
      </x:c>
      <x:c r="C20" s="38" t="str">
        <x:f>Standings!D12</x:f>
      </x:c>
      <x:c r="D20" s="38" t="str">
        <x:f>Standings!E12</x:f>
      </x:c>
      <x:c r="E20" s="38" t="str">
        <x:f>Standings!F12</x:f>
      </x:c>
      <x:c r="F20" s="38" t="str">
        <x:f>Standings!G12</x:f>
      </x:c>
      <x:c r="G20" s="38" t="str">
        <x:f>Standings!H12</x:f>
      </x:c>
      <x:c r="H20" s="38" t="str">
        <x:f>Standings!I12</x:f>
      </x:c>
      <x:c r="I20" s="38" t="str">
        <x:f>Standings!J12</x:f>
      </x:c>
      <x:c r="J20" s="38" t="str">
        <x:f>Standings!K12</x:f>
      </x:c>
      <x:c r="K20" s="49" t="str">
        <x:f>Standings!L12</x:f>
      </x:c>
      <x:c r="L20" s="38"/>
      <x:c r="M20" s="38" t="str">
        <x:f>IF(N20="","",8)</x:f>
      </x:c>
      <x:c r="N20" s="38" t="str">
        <x:f>IF($Q20="","",INDEX($R$13:$U$112,MATCH($Q20,$V$13:$V$112,0),1))</x:f>
      </x:c>
      <x:c r="O20" s="38" t="str">
        <x:f>IF($Q20="","",INDEX($R$13:$U$112,MATCH($Q20,$V$13:$V$112,0),3))</x:f>
      </x:c>
      <x:c r="P20" s="38" t="str">
        <x:f>IF($Q20="","",INDEX($R$13:$U$112,MATCH($Q20,$V$13:$V$112,0),4))</x:f>
      </x:c>
      <x:c r="Q20" s="38" t="str">
        <x:f>IFERROR(SMALL($V$13:$V$112,ROWS($Q$13:Q20)),"")</x:f>
      </x:c>
      <x:c r="R20" s="38" t="str">
        <x:f>IF(OR('Goal Scorers'!C12="",'Goal Scorers'!C12="Walkover",'Goal Scorers'!E12&lt;=0,COUNTIFS('Goal Scorers'!$C$5:C12,'Goal Scorers'!C12,'Goal Scorers'!$B$5:B12,'Goal Scorers'!B12)&gt;1),"",'Goal Scorers'!C12)</x:f>
      </x:c>
      <x:c r="S20" s="38" t="str">
        <x:f>IF(R20="","",'Goal Scorers'!B12)</x:f>
      </x:c>
      <x:c r="T20" s="38" t="str">
        <x:f>IF(R20="","",XLOOKUP(S20,Teams!$A$5:$A$36,Teams!$C$5:$C$36,""))</x:f>
      </x:c>
      <x:c r="U20" s="38" t="str">
        <x:f>IF(R20="","",SUMIFS('Goal Scorers'!$E$5:$E$104,'Goal Scorers'!$C$5:$C$104,R20,'Goal Scorers'!$B$5:$B$104,S20))</x:f>
      </x:c>
      <x:c r="V20" s="38" t="str">
        <x:f>IF(R20="","",COUNTIF($U$13:$U$112,"&gt;"&amp;U20)*100000+COUNTIFS($U$13:$U$112,U20,$R$13:$R$112,"&lt;="&amp;R20)*100+COUNTIFS($U$13:$U$112,U20,$R$13:$R$112,R20,$T$13:$T$112,"&lt;="&amp;T20))</x:f>
      </x:c>
    </x:row>
    <x:row r="21" ht="15" hidden="0" customHeight="1">
      <x:c r="A21" s="48" t="str">
        <x:f>Standings!A13</x:f>
      </x:c>
      <x:c r="B21" s="38" t="str">
        <x:f>Standings!B13</x:f>
      </x:c>
      <x:c r="C21" s="38" t="str">
        <x:f>Standings!D13</x:f>
      </x:c>
      <x:c r="D21" s="38" t="str">
        <x:f>Standings!E13</x:f>
      </x:c>
      <x:c r="E21" s="38" t="str">
        <x:f>Standings!F13</x:f>
      </x:c>
      <x:c r="F21" s="38" t="str">
        <x:f>Standings!G13</x:f>
      </x:c>
      <x:c r="G21" s="38" t="str">
        <x:f>Standings!H13</x:f>
      </x:c>
      <x:c r="H21" s="38" t="str">
        <x:f>Standings!I13</x:f>
      </x:c>
      <x:c r="I21" s="38" t="str">
        <x:f>Standings!J13</x:f>
      </x:c>
      <x:c r="J21" s="38" t="str">
        <x:f>Standings!K13</x:f>
      </x:c>
      <x:c r="K21" s="49" t="str">
        <x:f>Standings!L13</x:f>
      </x:c>
      <x:c r="L21" s="38"/>
      <x:c r="M21" s="38" t="str">
        <x:f>IF(N21="","",9)</x:f>
      </x:c>
      <x:c r="N21" s="38" t="str">
        <x:f>IF($Q21="","",INDEX($R$13:$U$112,MATCH($Q21,$V$13:$V$112,0),1))</x:f>
      </x:c>
      <x:c r="O21" s="38" t="str">
        <x:f>IF($Q21="","",INDEX($R$13:$U$112,MATCH($Q21,$V$13:$V$112,0),3))</x:f>
      </x:c>
      <x:c r="P21" s="38" t="str">
        <x:f>IF($Q21="","",INDEX($R$13:$U$112,MATCH($Q21,$V$13:$V$112,0),4))</x:f>
      </x:c>
      <x:c r="Q21" s="38" t="str">
        <x:f>IFERROR(SMALL($V$13:$V$112,ROWS($Q$13:Q21)),"")</x:f>
      </x:c>
      <x:c r="R21" s="38" t="str">
        <x:f>IF(OR('Goal Scorers'!C13="",'Goal Scorers'!C13="Walkover",'Goal Scorers'!E13&lt;=0,COUNTIFS('Goal Scorers'!$C$5:C13,'Goal Scorers'!C13,'Goal Scorers'!$B$5:B13,'Goal Scorers'!B13)&gt;1),"",'Goal Scorers'!C13)</x:f>
      </x:c>
      <x:c r="S21" s="38" t="str">
        <x:f>IF(R21="","",'Goal Scorers'!B13)</x:f>
      </x:c>
      <x:c r="T21" s="38" t="str">
        <x:f>IF(R21="","",XLOOKUP(S21,Teams!$A$5:$A$36,Teams!$C$5:$C$36,""))</x:f>
      </x:c>
      <x:c r="U21" s="38" t="str">
        <x:f>IF(R21="","",SUMIFS('Goal Scorers'!$E$5:$E$104,'Goal Scorers'!$C$5:$C$104,R21,'Goal Scorers'!$B$5:$B$104,S21))</x:f>
      </x:c>
      <x:c r="V21" s="38" t="str">
        <x:f>IF(R21="","",COUNTIF($U$13:$U$112,"&gt;"&amp;U21)*100000+COUNTIFS($U$13:$U$112,U21,$R$13:$R$112,"&lt;="&amp;R21)*100+COUNTIFS($U$13:$U$112,U21,$R$13:$R$112,R21,$T$13:$T$112,"&lt;="&amp;T21))</x:f>
      </x:c>
    </x:row>
    <x:row r="22" ht="15" hidden="0" customHeight="1">
      <x:c r="A22" s="48" t="str">
        <x:f>Standings!A14</x:f>
      </x:c>
      <x:c r="B22" s="38" t="str">
        <x:f>Standings!B14</x:f>
      </x:c>
      <x:c r="C22" s="38" t="str">
        <x:f>Standings!D14</x:f>
      </x:c>
      <x:c r="D22" s="38" t="str">
        <x:f>Standings!E14</x:f>
      </x:c>
      <x:c r="E22" s="38" t="str">
        <x:f>Standings!F14</x:f>
      </x:c>
      <x:c r="F22" s="38" t="str">
        <x:f>Standings!G14</x:f>
      </x:c>
      <x:c r="G22" s="38" t="str">
        <x:f>Standings!H14</x:f>
      </x:c>
      <x:c r="H22" s="38" t="str">
        <x:f>Standings!I14</x:f>
      </x:c>
      <x:c r="I22" s="38" t="str">
        <x:f>Standings!J14</x:f>
      </x:c>
      <x:c r="J22" s="38" t="str">
        <x:f>Standings!K14</x:f>
      </x:c>
      <x:c r="K22" s="49" t="str">
        <x:f>Standings!L14</x:f>
      </x:c>
      <x:c r="L22" s="38"/>
      <x:c r="M22" s="38" t="str">
        <x:f>IF(N22="","",10)</x:f>
      </x:c>
      <x:c r="N22" s="38" t="str">
        <x:f>IF($Q22="","",INDEX($R$13:$U$112,MATCH($Q22,$V$13:$V$112,0),1))</x:f>
      </x:c>
      <x:c r="O22" s="38" t="str">
        <x:f>IF($Q22="","",INDEX($R$13:$U$112,MATCH($Q22,$V$13:$V$112,0),3))</x:f>
      </x:c>
      <x:c r="P22" s="38" t="str">
        <x:f>IF($Q22="","",INDEX($R$13:$U$112,MATCH($Q22,$V$13:$V$112,0),4))</x:f>
      </x:c>
      <x:c r="Q22" s="38" t="str">
        <x:f>IFERROR(SMALL($V$13:$V$112,ROWS($Q$13:Q22)),"")</x:f>
      </x:c>
      <x:c r="R22" s="38" t="str">
        <x:f>IF(OR('Goal Scorers'!C14="",'Goal Scorers'!C14="Walkover",'Goal Scorers'!E14&lt;=0,COUNTIFS('Goal Scorers'!$C$5:C14,'Goal Scorers'!C14,'Goal Scorers'!$B$5:B14,'Goal Scorers'!B14)&gt;1),"",'Goal Scorers'!C14)</x:f>
      </x:c>
      <x:c r="S22" s="38" t="str">
        <x:f>IF(R22="","",'Goal Scorers'!B14)</x:f>
      </x:c>
      <x:c r="T22" s="38" t="str">
        <x:f>IF(R22="","",XLOOKUP(S22,Teams!$A$5:$A$36,Teams!$C$5:$C$36,""))</x:f>
      </x:c>
      <x:c r="U22" s="38" t="str">
        <x:f>IF(R22="","",SUMIFS('Goal Scorers'!$E$5:$E$104,'Goal Scorers'!$C$5:$C$104,R22,'Goal Scorers'!$B$5:$B$104,S22))</x:f>
      </x:c>
      <x:c r="V22" s="38" t="str">
        <x:f>IF(R22="","",COUNTIF($U$13:$U$112,"&gt;"&amp;U22)*100000+COUNTIFS($U$13:$U$112,U22,$R$13:$R$112,"&lt;="&amp;R22)*100+COUNTIFS($U$13:$U$112,U22,$R$13:$R$112,R22,$T$13:$T$112,"&lt;="&amp;T22))</x:f>
      </x:c>
    </x:row>
    <x:row r="23" ht="15" hidden="0" customHeight="1">
      <x:c r="A23" s="48" t="str">
        <x:f>Standings!A15</x:f>
      </x:c>
      <x:c r="B23" s="38" t="str">
        <x:f>Standings!B15</x:f>
      </x:c>
      <x:c r="C23" s="38" t="str">
        <x:f>Standings!D15</x:f>
      </x:c>
      <x:c r="D23" s="38" t="str">
        <x:f>Standings!E15</x:f>
      </x:c>
      <x:c r="E23" s="38" t="str">
        <x:f>Standings!F15</x:f>
      </x:c>
      <x:c r="F23" s="38" t="str">
        <x:f>Standings!G15</x:f>
      </x:c>
      <x:c r="G23" s="38" t="str">
        <x:f>Standings!H15</x:f>
      </x:c>
      <x:c r="H23" s="38" t="str">
        <x:f>Standings!I15</x:f>
      </x:c>
      <x:c r="I23" s="38" t="str">
        <x:f>Standings!J15</x:f>
      </x:c>
      <x:c r="J23" s="38" t="str">
        <x:f>Standings!K15</x:f>
      </x:c>
      <x:c r="K23" s="49" t="str">
        <x:f>Standings!L15</x:f>
      </x:c>
      <x:c r="L23" s="38"/>
      <x:c r="M23" s="38" t="str">
        <x:f>IF(N23="","",11)</x:f>
      </x:c>
      <x:c r="N23" s="38" t="str">
        <x:f>IF($Q23="","",INDEX($R$13:$U$112,MATCH($Q23,$V$13:$V$112,0),1))</x:f>
      </x:c>
      <x:c r="O23" s="38" t="str">
        <x:f>IF($Q23="","",INDEX($R$13:$U$112,MATCH($Q23,$V$13:$V$112,0),3))</x:f>
      </x:c>
      <x:c r="P23" s="38" t="str">
        <x:f>IF($Q23="","",INDEX($R$13:$U$112,MATCH($Q23,$V$13:$V$112,0),4))</x:f>
      </x:c>
      <x:c r="Q23" s="38" t="str">
        <x:f>IFERROR(SMALL($V$13:$V$112,ROWS($Q$13:Q23)),"")</x:f>
      </x:c>
      <x:c r="R23" s="38" t="str">
        <x:f>IF(OR('Goal Scorers'!C15="",'Goal Scorers'!C15="Walkover",'Goal Scorers'!E15&lt;=0,COUNTIFS('Goal Scorers'!$C$5:C15,'Goal Scorers'!C15,'Goal Scorers'!$B$5:B15,'Goal Scorers'!B15)&gt;1),"",'Goal Scorers'!C15)</x:f>
      </x:c>
      <x:c r="S23" s="38" t="str">
        <x:f>IF(R23="","",'Goal Scorers'!B15)</x:f>
      </x:c>
      <x:c r="T23" s="38" t="str">
        <x:f>IF(R23="","",XLOOKUP(S23,Teams!$A$5:$A$36,Teams!$C$5:$C$36,""))</x:f>
      </x:c>
      <x:c r="U23" s="38" t="str">
        <x:f>IF(R23="","",SUMIFS('Goal Scorers'!$E$5:$E$104,'Goal Scorers'!$C$5:$C$104,R23,'Goal Scorers'!$B$5:$B$104,S23))</x:f>
      </x:c>
      <x:c r="V23" s="38" t="str">
        <x:f>IF(R23="","",COUNTIF($U$13:$U$112,"&gt;"&amp;U23)*100000+COUNTIFS($U$13:$U$112,U23,$R$13:$R$112,"&lt;="&amp;R23)*100+COUNTIFS($U$13:$U$112,U23,$R$13:$R$112,R23,$T$13:$T$112,"&lt;="&amp;T23))</x:f>
      </x:c>
    </x:row>
    <x:row r="24" ht="15" hidden="0" customHeight="1">
      <x:c r="A24" s="48" t="str">
        <x:f>Standings!A16</x:f>
      </x:c>
      <x:c r="B24" s="38" t="str">
        <x:f>Standings!B16</x:f>
      </x:c>
      <x:c r="C24" s="38" t="str">
        <x:f>Standings!D16</x:f>
      </x:c>
      <x:c r="D24" s="38" t="str">
        <x:f>Standings!E16</x:f>
      </x:c>
      <x:c r="E24" s="38" t="str">
        <x:f>Standings!F16</x:f>
      </x:c>
      <x:c r="F24" s="38" t="str">
        <x:f>Standings!G16</x:f>
      </x:c>
      <x:c r="G24" s="38" t="str">
        <x:f>Standings!H16</x:f>
      </x:c>
      <x:c r="H24" s="38" t="str">
        <x:f>Standings!I16</x:f>
      </x:c>
      <x:c r="I24" s="38" t="str">
        <x:f>Standings!J16</x:f>
      </x:c>
      <x:c r="J24" s="38" t="str">
        <x:f>Standings!K16</x:f>
      </x:c>
      <x:c r="K24" s="49" t="str">
        <x:f>Standings!L16</x:f>
      </x:c>
      <x:c r="L24" s="38"/>
      <x:c r="M24" s="38" t="str">
        <x:f>IF(N24="","",12)</x:f>
      </x:c>
      <x:c r="N24" s="38" t="str">
        <x:f>IF($Q24="","",INDEX($R$13:$U$112,MATCH($Q24,$V$13:$V$112,0),1))</x:f>
      </x:c>
      <x:c r="O24" s="38" t="str">
        <x:f>IF($Q24="","",INDEX($R$13:$U$112,MATCH($Q24,$V$13:$V$112,0),3))</x:f>
      </x:c>
      <x:c r="P24" s="38" t="str">
        <x:f>IF($Q24="","",INDEX($R$13:$U$112,MATCH($Q24,$V$13:$V$112,0),4))</x:f>
      </x:c>
      <x:c r="Q24" s="38" t="str">
        <x:f>IFERROR(SMALL($V$13:$V$112,ROWS($Q$13:Q24)),"")</x:f>
      </x:c>
      <x:c r="R24" s="38" t="str">
        <x:f>IF(OR('Goal Scorers'!C16="",'Goal Scorers'!C16="Walkover",'Goal Scorers'!E16&lt;=0,COUNTIFS('Goal Scorers'!$C$5:C16,'Goal Scorers'!C16,'Goal Scorers'!$B$5:B16,'Goal Scorers'!B16)&gt;1),"",'Goal Scorers'!C16)</x:f>
      </x:c>
      <x:c r="S24" s="38" t="str">
        <x:f>IF(R24="","",'Goal Scorers'!B16)</x:f>
      </x:c>
      <x:c r="T24" s="38" t="str">
        <x:f>IF(R24="","",XLOOKUP(S24,Teams!$A$5:$A$36,Teams!$C$5:$C$36,""))</x:f>
      </x:c>
      <x:c r="U24" s="38" t="str">
        <x:f>IF(R24="","",SUMIFS('Goal Scorers'!$E$5:$E$104,'Goal Scorers'!$C$5:$C$104,R24,'Goal Scorers'!$B$5:$B$104,S24))</x:f>
      </x:c>
      <x:c r="V24" s="38" t="str">
        <x:f>IF(R24="","",COUNTIF($U$13:$U$112,"&gt;"&amp;U24)*100000+COUNTIFS($U$13:$U$112,U24,$R$13:$R$112,"&lt;="&amp;R24)*100+COUNTIFS($U$13:$U$112,U24,$R$13:$R$112,R24,$T$13:$T$112,"&lt;="&amp;T24))</x:f>
      </x:c>
    </x:row>
    <x:row r="25" ht="15" hidden="0" customHeight="1">
      <x:c r="A25" s="48" t="str">
        <x:f>Standings!A17</x:f>
      </x:c>
      <x:c r="B25" s="38" t="str">
        <x:f>Standings!B17</x:f>
      </x:c>
      <x:c r="C25" s="38" t="str">
        <x:f>Standings!D17</x:f>
      </x:c>
      <x:c r="D25" s="38" t="str">
        <x:f>Standings!E17</x:f>
      </x:c>
      <x:c r="E25" s="38" t="str">
        <x:f>Standings!F17</x:f>
      </x:c>
      <x:c r="F25" s="38" t="str">
        <x:f>Standings!G17</x:f>
      </x:c>
      <x:c r="G25" s="38" t="str">
        <x:f>Standings!H17</x:f>
      </x:c>
      <x:c r="H25" s="38" t="str">
        <x:f>Standings!I17</x:f>
      </x:c>
      <x:c r="I25" s="38" t="str">
        <x:f>Standings!J17</x:f>
      </x:c>
      <x:c r="J25" s="38" t="str">
        <x:f>Standings!K17</x:f>
      </x:c>
      <x:c r="K25" s="49" t="str">
        <x:f>Standings!L17</x:f>
      </x:c>
      <x:c r="L25" s="38"/>
      <x:c r="M25" s="38" t="str">
        <x:f>IF(N25="","",13)</x:f>
      </x:c>
      <x:c r="N25" s="38" t="str">
        <x:f>IF($Q25="","",INDEX($R$13:$U$112,MATCH($Q25,$V$13:$V$112,0),1))</x:f>
      </x:c>
      <x:c r="O25" s="38" t="str">
        <x:f>IF($Q25="","",INDEX($R$13:$U$112,MATCH($Q25,$V$13:$V$112,0),3))</x:f>
      </x:c>
      <x:c r="P25" s="38" t="str">
        <x:f>IF($Q25="","",INDEX($R$13:$U$112,MATCH($Q25,$V$13:$V$112,0),4))</x:f>
      </x:c>
      <x:c r="Q25" s="38" t="str">
        <x:f>IFERROR(SMALL($V$13:$V$112,ROWS($Q$13:Q25)),"")</x:f>
      </x:c>
      <x:c r="R25" s="38" t="str">
        <x:f>IF(OR('Goal Scorers'!C17="",'Goal Scorers'!C17="Walkover",'Goal Scorers'!E17&lt;=0,COUNTIFS('Goal Scorers'!$C$5:C17,'Goal Scorers'!C17,'Goal Scorers'!$B$5:B17,'Goal Scorers'!B17)&gt;1),"",'Goal Scorers'!C17)</x:f>
      </x:c>
      <x:c r="S25" s="38" t="str">
        <x:f>IF(R25="","",'Goal Scorers'!B17)</x:f>
      </x:c>
      <x:c r="T25" s="38" t="str">
        <x:f>IF(R25="","",XLOOKUP(S25,Teams!$A$5:$A$36,Teams!$C$5:$C$36,""))</x:f>
      </x:c>
      <x:c r="U25" s="38" t="str">
        <x:f>IF(R25="","",SUMIFS('Goal Scorers'!$E$5:$E$104,'Goal Scorers'!$C$5:$C$104,R25,'Goal Scorers'!$B$5:$B$104,S25))</x:f>
      </x:c>
      <x:c r="V25" s="38" t="str">
        <x:f>IF(R25="","",COUNTIF($U$13:$U$112,"&gt;"&amp;U25)*100000+COUNTIFS($U$13:$U$112,U25,$R$13:$R$112,"&lt;="&amp;R25)*100+COUNTIFS($U$13:$U$112,U25,$R$13:$R$112,R25,$T$13:$T$112,"&lt;="&amp;T25))</x:f>
      </x:c>
    </x:row>
    <x:row r="26" ht="15" hidden="0" customHeight="1">
      <x:c r="A26" s="48" t="str">
        <x:f>Standings!A18</x:f>
      </x:c>
      <x:c r="B26" s="38" t="str">
        <x:f>Standings!B18</x:f>
      </x:c>
      <x:c r="C26" s="38" t="str">
        <x:f>Standings!D18</x:f>
      </x:c>
      <x:c r="D26" s="38" t="str">
        <x:f>Standings!E18</x:f>
      </x:c>
      <x:c r="E26" s="38" t="str">
        <x:f>Standings!F18</x:f>
      </x:c>
      <x:c r="F26" s="38" t="str">
        <x:f>Standings!G18</x:f>
      </x:c>
      <x:c r="G26" s="38" t="str">
        <x:f>Standings!H18</x:f>
      </x:c>
      <x:c r="H26" s="38" t="str">
        <x:f>Standings!I18</x:f>
      </x:c>
      <x:c r="I26" s="38" t="str">
        <x:f>Standings!J18</x:f>
      </x:c>
      <x:c r="J26" s="38" t="str">
        <x:f>Standings!K18</x:f>
      </x:c>
      <x:c r="K26" s="49" t="str">
        <x:f>Standings!L18</x:f>
      </x:c>
      <x:c r="L26" s="38"/>
      <x:c r="M26" s="38" t="str">
        <x:f>IF(N26="","",14)</x:f>
      </x:c>
      <x:c r="N26" s="38" t="str">
        <x:f>IF($Q26="","",INDEX($R$13:$U$112,MATCH($Q26,$V$13:$V$112,0),1))</x:f>
      </x:c>
      <x:c r="O26" s="38" t="str">
        <x:f>IF($Q26="","",INDEX($R$13:$U$112,MATCH($Q26,$V$13:$V$112,0),3))</x:f>
      </x:c>
      <x:c r="P26" s="38" t="str">
        <x:f>IF($Q26="","",INDEX($R$13:$U$112,MATCH($Q26,$V$13:$V$112,0),4))</x:f>
      </x:c>
      <x:c r="Q26" s="38" t="str">
        <x:f>IFERROR(SMALL($V$13:$V$112,ROWS($Q$13:Q26)),"")</x:f>
      </x:c>
      <x:c r="R26" s="38" t="str">
        <x:f>IF(OR('Goal Scorers'!C18="",'Goal Scorers'!C18="Walkover",'Goal Scorers'!E18&lt;=0,COUNTIFS('Goal Scorers'!$C$5:C18,'Goal Scorers'!C18,'Goal Scorers'!$B$5:B18,'Goal Scorers'!B18)&gt;1),"",'Goal Scorers'!C18)</x:f>
      </x:c>
      <x:c r="S26" s="38" t="str">
        <x:f>IF(R26="","",'Goal Scorers'!B18)</x:f>
      </x:c>
      <x:c r="T26" s="38" t="str">
        <x:f>IF(R26="","",XLOOKUP(S26,Teams!$A$5:$A$36,Teams!$C$5:$C$36,""))</x:f>
      </x:c>
      <x:c r="U26" s="38" t="str">
        <x:f>IF(R26="","",SUMIFS('Goal Scorers'!$E$5:$E$104,'Goal Scorers'!$C$5:$C$104,R26,'Goal Scorers'!$B$5:$B$104,S26))</x:f>
      </x:c>
      <x:c r="V26" s="38" t="str">
        <x:f>IF(R26="","",COUNTIF($U$13:$U$112,"&gt;"&amp;U26)*100000+COUNTIFS($U$13:$U$112,U26,$R$13:$R$112,"&lt;="&amp;R26)*100+COUNTIFS($U$13:$U$112,U26,$R$13:$R$112,R26,$T$13:$T$112,"&lt;="&amp;T26))</x:f>
      </x:c>
    </x:row>
    <x:row r="27" ht="15" hidden="0" customHeight="1">
      <x:c r="A27" s="48" t="str">
        <x:f>Standings!A19</x:f>
      </x:c>
      <x:c r="B27" s="38" t="str">
        <x:f>Standings!B19</x:f>
      </x:c>
      <x:c r="C27" s="38" t="str">
        <x:f>Standings!D19</x:f>
      </x:c>
      <x:c r="D27" s="38" t="str">
        <x:f>Standings!E19</x:f>
      </x:c>
      <x:c r="E27" s="38" t="str">
        <x:f>Standings!F19</x:f>
      </x:c>
      <x:c r="F27" s="38" t="str">
        <x:f>Standings!G19</x:f>
      </x:c>
      <x:c r="G27" s="38" t="str">
        <x:f>Standings!H19</x:f>
      </x:c>
      <x:c r="H27" s="38" t="str">
        <x:f>Standings!I19</x:f>
      </x:c>
      <x:c r="I27" s="38" t="str">
        <x:f>Standings!J19</x:f>
      </x:c>
      <x:c r="J27" s="38" t="str">
        <x:f>Standings!K19</x:f>
      </x:c>
      <x:c r="K27" s="49" t="str">
        <x:f>Standings!L19</x:f>
      </x:c>
      <x:c r="L27" s="38"/>
      <x:c r="M27" s="38" t="str">
        <x:f>IF(N27="","",15)</x:f>
      </x:c>
      <x:c r="N27" s="38" t="str">
        <x:f>IF($Q27="","",INDEX($R$13:$U$112,MATCH($Q27,$V$13:$V$112,0),1))</x:f>
      </x:c>
      <x:c r="O27" s="38" t="str">
        <x:f>IF($Q27="","",INDEX($R$13:$U$112,MATCH($Q27,$V$13:$V$112,0),3))</x:f>
      </x:c>
      <x:c r="P27" s="38" t="str">
        <x:f>IF($Q27="","",INDEX($R$13:$U$112,MATCH($Q27,$V$13:$V$112,0),4))</x:f>
      </x:c>
      <x:c r="Q27" s="38" t="str">
        <x:f>IFERROR(SMALL($V$13:$V$112,ROWS($Q$13:Q27)),"")</x:f>
      </x:c>
      <x:c r="R27" s="38" t="str">
        <x:f>IF(OR('Goal Scorers'!C19="",'Goal Scorers'!C19="Walkover",'Goal Scorers'!E19&lt;=0,COUNTIFS('Goal Scorers'!$C$5:C19,'Goal Scorers'!C19,'Goal Scorers'!$B$5:B19,'Goal Scorers'!B19)&gt;1),"",'Goal Scorers'!C19)</x:f>
      </x:c>
      <x:c r="S27" s="38" t="str">
        <x:f>IF(R27="","",'Goal Scorers'!B19)</x:f>
      </x:c>
      <x:c r="T27" s="38" t="str">
        <x:f>IF(R27="","",XLOOKUP(S27,Teams!$A$5:$A$36,Teams!$C$5:$C$36,""))</x:f>
      </x:c>
      <x:c r="U27" s="38" t="str">
        <x:f>IF(R27="","",SUMIFS('Goal Scorers'!$E$5:$E$104,'Goal Scorers'!$C$5:$C$104,R27,'Goal Scorers'!$B$5:$B$104,S27))</x:f>
      </x:c>
      <x:c r="V27" s="38" t="str">
        <x:f>IF(R27="","",COUNTIF($U$13:$U$112,"&gt;"&amp;U27)*100000+COUNTIFS($U$13:$U$112,U27,$R$13:$R$112,"&lt;="&amp;R27)*100+COUNTIFS($U$13:$U$112,U27,$R$13:$R$112,R27,$T$13:$T$112,"&lt;="&amp;T27))</x:f>
      </x:c>
    </x:row>
    <x:row r="28" ht="15" hidden="0" customHeight="1">
      <x:c r="A28" s="48" t="str">
        <x:f>Standings!A20</x:f>
      </x:c>
      <x:c r="B28" s="38" t="str">
        <x:f>Standings!B20</x:f>
      </x:c>
      <x:c r="C28" s="38" t="str">
        <x:f>Standings!D20</x:f>
      </x:c>
      <x:c r="D28" s="38" t="str">
        <x:f>Standings!E20</x:f>
      </x:c>
      <x:c r="E28" s="38" t="str">
        <x:f>Standings!F20</x:f>
      </x:c>
      <x:c r="F28" s="38" t="str">
        <x:f>Standings!G20</x:f>
      </x:c>
      <x:c r="G28" s="38" t="str">
        <x:f>Standings!H20</x:f>
      </x:c>
      <x:c r="H28" s="38" t="str">
        <x:f>Standings!I20</x:f>
      </x:c>
      <x:c r="I28" s="38" t="str">
        <x:f>Standings!J20</x:f>
      </x:c>
      <x:c r="J28" s="38" t="str">
        <x:f>Standings!K20</x:f>
      </x:c>
      <x:c r="K28" s="49" t="str">
        <x:f>Standings!L20</x:f>
      </x:c>
      <x:c r="L28" s="38"/>
      <x:c r="M28" s="38" t="str">
        <x:f>IF(N28="","",16)</x:f>
      </x:c>
      <x:c r="N28" s="38" t="str">
        <x:f>IF($Q28="","",INDEX($R$13:$U$112,MATCH($Q28,$V$13:$V$112,0),1))</x:f>
      </x:c>
      <x:c r="O28" s="38" t="str">
        <x:f>IF($Q28="","",INDEX($R$13:$U$112,MATCH($Q28,$V$13:$V$112,0),3))</x:f>
      </x:c>
      <x:c r="P28" s="38" t="str">
        <x:f>IF($Q28="","",INDEX($R$13:$U$112,MATCH($Q28,$V$13:$V$112,0),4))</x:f>
      </x:c>
      <x:c r="Q28" s="38" t="str">
        <x:f>IFERROR(SMALL($V$13:$V$112,ROWS($Q$13:Q28)),"")</x:f>
      </x:c>
      <x:c r="R28" s="38" t="str">
        <x:f>IF(OR('Goal Scorers'!C20="",'Goal Scorers'!C20="Walkover",'Goal Scorers'!E20&lt;=0,COUNTIFS('Goal Scorers'!$C$5:C20,'Goal Scorers'!C20,'Goal Scorers'!$B$5:B20,'Goal Scorers'!B20)&gt;1),"",'Goal Scorers'!C20)</x:f>
      </x:c>
      <x:c r="S28" s="38" t="str">
        <x:f>IF(R28="","",'Goal Scorers'!B20)</x:f>
      </x:c>
      <x:c r="T28" s="38" t="str">
        <x:f>IF(R28="","",XLOOKUP(S28,Teams!$A$5:$A$36,Teams!$C$5:$C$36,""))</x:f>
      </x:c>
      <x:c r="U28" s="38" t="str">
        <x:f>IF(R28="","",SUMIFS('Goal Scorers'!$E$5:$E$104,'Goal Scorers'!$C$5:$C$104,R28,'Goal Scorers'!$B$5:$B$104,S28))</x:f>
      </x:c>
      <x:c r="V28" s="38" t="str">
        <x:f>IF(R28="","",COUNTIF($U$13:$U$112,"&gt;"&amp;U28)*100000+COUNTIFS($U$13:$U$112,U28,$R$13:$R$112,"&lt;="&amp;R28)*100+COUNTIFS($U$13:$U$112,U28,$R$13:$R$112,R28,$T$13:$T$112,"&lt;="&amp;T28))</x:f>
      </x:c>
    </x:row>
    <x:row r="29" ht="15" hidden="0" customHeight="1">
      <x:c r="A29" s="48" t="str">
        <x:f>Standings!A21</x:f>
      </x:c>
      <x:c r="B29" s="38" t="str">
        <x:f>Standings!B21</x:f>
      </x:c>
      <x:c r="C29" s="38" t="str">
        <x:f>Standings!D21</x:f>
      </x:c>
      <x:c r="D29" s="38" t="str">
        <x:f>Standings!E21</x:f>
      </x:c>
      <x:c r="E29" s="38" t="str">
        <x:f>Standings!F21</x:f>
      </x:c>
      <x:c r="F29" s="38" t="str">
        <x:f>Standings!G21</x:f>
      </x:c>
      <x:c r="G29" s="38" t="str">
        <x:f>Standings!H21</x:f>
      </x:c>
      <x:c r="H29" s="38" t="str">
        <x:f>Standings!I21</x:f>
      </x:c>
      <x:c r="I29" s="38" t="str">
        <x:f>Standings!J21</x:f>
      </x:c>
      <x:c r="J29" s="38" t="str">
        <x:f>Standings!K21</x:f>
      </x:c>
      <x:c r="K29" s="49" t="str">
        <x:f>Standings!L21</x:f>
      </x:c>
      <x:c r="L29" s="38"/>
      <x:c r="M29" s="38" t="str">
        <x:f>IF(N29="","",17)</x:f>
      </x:c>
      <x:c r="N29" s="38" t="str">
        <x:f>IF($Q29="","",INDEX($R$13:$U$112,MATCH($Q29,$V$13:$V$112,0),1))</x:f>
      </x:c>
      <x:c r="O29" s="38" t="str">
        <x:f>IF($Q29="","",INDEX($R$13:$U$112,MATCH($Q29,$V$13:$V$112,0),3))</x:f>
      </x:c>
      <x:c r="P29" s="38" t="str">
        <x:f>IF($Q29="","",INDEX($R$13:$U$112,MATCH($Q29,$V$13:$V$112,0),4))</x:f>
      </x:c>
      <x:c r="Q29" s="38" t="str">
        <x:f>IFERROR(SMALL($V$13:$V$112,ROWS($Q$13:Q29)),"")</x:f>
      </x:c>
      <x:c r="R29" s="38" t="str">
        <x:f>IF(OR('Goal Scorers'!C21="",'Goal Scorers'!C21="Walkover",'Goal Scorers'!E21&lt;=0,COUNTIFS('Goal Scorers'!$C$5:C21,'Goal Scorers'!C21,'Goal Scorers'!$B$5:B21,'Goal Scorers'!B21)&gt;1),"",'Goal Scorers'!C21)</x:f>
      </x:c>
      <x:c r="S29" s="38" t="str">
        <x:f>IF(R29="","",'Goal Scorers'!B21)</x:f>
      </x:c>
      <x:c r="T29" s="38" t="str">
        <x:f>IF(R29="","",XLOOKUP(S29,Teams!$A$5:$A$36,Teams!$C$5:$C$36,""))</x:f>
      </x:c>
      <x:c r="U29" s="38" t="str">
        <x:f>IF(R29="","",SUMIFS('Goal Scorers'!$E$5:$E$104,'Goal Scorers'!$C$5:$C$104,R29,'Goal Scorers'!$B$5:$B$104,S29))</x:f>
      </x:c>
      <x:c r="V29" s="38" t="str">
        <x:f>IF(R29="","",COUNTIF($U$13:$U$112,"&gt;"&amp;U29)*100000+COUNTIFS($U$13:$U$112,U29,$R$13:$R$112,"&lt;="&amp;R29)*100+COUNTIFS($U$13:$U$112,U29,$R$13:$R$112,R29,$T$13:$T$112,"&lt;="&amp;T29))</x:f>
      </x:c>
    </x:row>
    <x:row r="30" ht="15" hidden="0" customHeight="1">
      <x:c r="A30" s="48" t="str">
        <x:f>Standings!A22</x:f>
      </x:c>
      <x:c r="B30" s="38" t="str">
        <x:f>Standings!B22</x:f>
      </x:c>
      <x:c r="C30" s="38" t="str">
        <x:f>Standings!D22</x:f>
      </x:c>
      <x:c r="D30" s="38" t="str">
        <x:f>Standings!E22</x:f>
      </x:c>
      <x:c r="E30" s="38" t="str">
        <x:f>Standings!F22</x:f>
      </x:c>
      <x:c r="F30" s="38" t="str">
        <x:f>Standings!G22</x:f>
      </x:c>
      <x:c r="G30" s="38" t="str">
        <x:f>Standings!H22</x:f>
      </x:c>
      <x:c r="H30" s="38" t="str">
        <x:f>Standings!I22</x:f>
      </x:c>
      <x:c r="I30" s="38" t="str">
        <x:f>Standings!J22</x:f>
      </x:c>
      <x:c r="J30" s="38" t="str">
        <x:f>Standings!K22</x:f>
      </x:c>
      <x:c r="K30" s="49" t="str">
        <x:f>Standings!L22</x:f>
      </x:c>
      <x:c r="L30" s="38"/>
      <x:c r="M30" s="38" t="str">
        <x:f>IF(N30="","",18)</x:f>
      </x:c>
      <x:c r="N30" s="38" t="str">
        <x:f>IF($Q30="","",INDEX($R$13:$U$112,MATCH($Q30,$V$13:$V$112,0),1))</x:f>
      </x:c>
      <x:c r="O30" s="38" t="str">
        <x:f>IF($Q30="","",INDEX($R$13:$U$112,MATCH($Q30,$V$13:$V$112,0),3))</x:f>
      </x:c>
      <x:c r="P30" s="38" t="str">
        <x:f>IF($Q30="","",INDEX($R$13:$U$112,MATCH($Q30,$V$13:$V$112,0),4))</x:f>
      </x:c>
      <x:c r="Q30" s="38" t="str">
        <x:f>IFERROR(SMALL($V$13:$V$112,ROWS($Q$13:Q30)),"")</x:f>
      </x:c>
      <x:c r="R30" s="38" t="str">
        <x:f>IF(OR('Goal Scorers'!C22="",'Goal Scorers'!C22="Walkover",'Goal Scorers'!E22&lt;=0,COUNTIFS('Goal Scorers'!$C$5:C22,'Goal Scorers'!C22,'Goal Scorers'!$B$5:B22,'Goal Scorers'!B22)&gt;1),"",'Goal Scorers'!C22)</x:f>
      </x:c>
      <x:c r="S30" s="38" t="str">
        <x:f>IF(R30="","",'Goal Scorers'!B22)</x:f>
      </x:c>
      <x:c r="T30" s="38" t="str">
        <x:f>IF(R30="","",XLOOKUP(S30,Teams!$A$5:$A$36,Teams!$C$5:$C$36,""))</x:f>
      </x:c>
      <x:c r="U30" s="38" t="str">
        <x:f>IF(R30="","",SUMIFS('Goal Scorers'!$E$5:$E$104,'Goal Scorers'!$C$5:$C$104,R30,'Goal Scorers'!$B$5:$B$104,S30))</x:f>
      </x:c>
      <x:c r="V30" s="38" t="str">
        <x:f>IF(R30="","",COUNTIF($U$13:$U$112,"&gt;"&amp;U30)*100000+COUNTIFS($U$13:$U$112,U30,$R$13:$R$112,"&lt;="&amp;R30)*100+COUNTIFS($U$13:$U$112,U30,$R$13:$R$112,R30,$T$13:$T$112,"&lt;="&amp;T30))</x:f>
      </x:c>
    </x:row>
    <x:row r="31" ht="15" hidden="0" customHeight="1">
      <x:c r="A31" s="48" t="str">
        <x:f>Standings!A23</x:f>
      </x:c>
      <x:c r="B31" s="38" t="str">
        <x:f>Standings!B23</x:f>
      </x:c>
      <x:c r="C31" s="38" t="str">
        <x:f>Standings!D23</x:f>
      </x:c>
      <x:c r="D31" s="38" t="str">
        <x:f>Standings!E23</x:f>
      </x:c>
      <x:c r="E31" s="38" t="str">
        <x:f>Standings!F23</x:f>
      </x:c>
      <x:c r="F31" s="38" t="str">
        <x:f>Standings!G23</x:f>
      </x:c>
      <x:c r="G31" s="38" t="str">
        <x:f>Standings!H23</x:f>
      </x:c>
      <x:c r="H31" s="38" t="str">
        <x:f>Standings!I23</x:f>
      </x:c>
      <x:c r="I31" s="38" t="str">
        <x:f>Standings!J23</x:f>
      </x:c>
      <x:c r="J31" s="38" t="str">
        <x:f>Standings!K23</x:f>
      </x:c>
      <x:c r="K31" s="49" t="str">
        <x:f>Standings!L23</x:f>
      </x:c>
      <x:c r="L31" s="38"/>
      <x:c r="M31" s="38" t="str">
        <x:f>IF(N31="","",19)</x:f>
      </x:c>
      <x:c r="N31" s="38" t="str">
        <x:f>IF($Q31="","",INDEX($R$13:$U$112,MATCH($Q31,$V$13:$V$112,0),1))</x:f>
      </x:c>
      <x:c r="O31" s="38" t="str">
        <x:f>IF($Q31="","",INDEX($R$13:$U$112,MATCH($Q31,$V$13:$V$112,0),3))</x:f>
      </x:c>
      <x:c r="P31" s="38" t="str">
        <x:f>IF($Q31="","",INDEX($R$13:$U$112,MATCH($Q31,$V$13:$V$112,0),4))</x:f>
      </x:c>
      <x:c r="Q31" s="38" t="str">
        <x:f>IFERROR(SMALL($V$13:$V$112,ROWS($Q$13:Q31)),"")</x:f>
      </x:c>
      <x:c r="R31" s="38" t="str">
        <x:f>IF(OR('Goal Scorers'!C23="",'Goal Scorers'!C23="Walkover",'Goal Scorers'!E23&lt;=0,COUNTIFS('Goal Scorers'!$C$5:C23,'Goal Scorers'!C23,'Goal Scorers'!$B$5:B23,'Goal Scorers'!B23)&gt;1),"",'Goal Scorers'!C23)</x:f>
      </x:c>
      <x:c r="S31" s="38" t="str">
        <x:f>IF(R31="","",'Goal Scorers'!B23)</x:f>
      </x:c>
      <x:c r="T31" s="38" t="str">
        <x:f>IF(R31="","",XLOOKUP(S31,Teams!$A$5:$A$36,Teams!$C$5:$C$36,""))</x:f>
      </x:c>
      <x:c r="U31" s="38" t="str">
        <x:f>IF(R31="","",SUMIFS('Goal Scorers'!$E$5:$E$104,'Goal Scorers'!$C$5:$C$104,R31,'Goal Scorers'!$B$5:$B$104,S31))</x:f>
      </x:c>
      <x:c r="V31" s="38" t="str">
        <x:f>IF(R31="","",COUNTIF($U$13:$U$112,"&gt;"&amp;U31)*100000+COUNTIFS($U$13:$U$112,U31,$R$13:$R$112,"&lt;="&amp;R31)*100+COUNTIFS($U$13:$U$112,U31,$R$13:$R$112,R31,$T$13:$T$112,"&lt;="&amp;T31))</x:f>
      </x:c>
    </x:row>
    <x:row r="32" ht="15" hidden="0" customHeight="1">
      <x:c r="A32" s="48" t="str">
        <x:f>Standings!A24</x:f>
      </x:c>
      <x:c r="B32" s="38" t="str">
        <x:f>Standings!B24</x:f>
      </x:c>
      <x:c r="C32" s="38" t="str">
        <x:f>Standings!D24</x:f>
      </x:c>
      <x:c r="D32" s="38" t="str">
        <x:f>Standings!E24</x:f>
      </x:c>
      <x:c r="E32" s="38" t="str">
        <x:f>Standings!F24</x:f>
      </x:c>
      <x:c r="F32" s="38" t="str">
        <x:f>Standings!G24</x:f>
      </x:c>
      <x:c r="G32" s="38" t="str">
        <x:f>Standings!H24</x:f>
      </x:c>
      <x:c r="H32" s="38" t="str">
        <x:f>Standings!I24</x:f>
      </x:c>
      <x:c r="I32" s="38" t="str">
        <x:f>Standings!J24</x:f>
      </x:c>
      <x:c r="J32" s="38" t="str">
        <x:f>Standings!K24</x:f>
      </x:c>
      <x:c r="K32" s="49" t="str">
        <x:f>Standings!L24</x:f>
      </x:c>
      <x:c r="L32" s="38"/>
      <x:c r="M32" s="38" t="str">
        <x:f>IF(N32="","",20)</x:f>
      </x:c>
      <x:c r="N32" s="38" t="str">
        <x:f>IF($Q32="","",INDEX($R$13:$U$112,MATCH($Q32,$V$13:$V$112,0),1))</x:f>
      </x:c>
      <x:c r="O32" s="38" t="str">
        <x:f>IF($Q32="","",INDEX($R$13:$U$112,MATCH($Q32,$V$13:$V$112,0),3))</x:f>
      </x:c>
      <x:c r="P32" s="38" t="str">
        <x:f>IF($Q32="","",INDEX($R$13:$U$112,MATCH($Q32,$V$13:$V$112,0),4))</x:f>
      </x:c>
      <x:c r="Q32" s="38" t="str">
        <x:f>IFERROR(SMALL($V$13:$V$112,ROWS($Q$13:Q32)),"")</x:f>
      </x:c>
      <x:c r="R32" s="38" t="str">
        <x:f>IF(OR('Goal Scorers'!C24="",'Goal Scorers'!C24="Walkover",'Goal Scorers'!E24&lt;=0,COUNTIFS('Goal Scorers'!$C$5:C24,'Goal Scorers'!C24,'Goal Scorers'!$B$5:B24,'Goal Scorers'!B24)&gt;1),"",'Goal Scorers'!C24)</x:f>
      </x:c>
      <x:c r="S32" s="38" t="str">
        <x:f>IF(R32="","",'Goal Scorers'!B24)</x:f>
      </x:c>
      <x:c r="T32" s="38" t="str">
        <x:f>IF(R32="","",XLOOKUP(S32,Teams!$A$5:$A$36,Teams!$C$5:$C$36,""))</x:f>
      </x:c>
      <x:c r="U32" s="38" t="str">
        <x:f>IF(R32="","",SUMIFS('Goal Scorers'!$E$5:$E$104,'Goal Scorers'!$C$5:$C$104,R32,'Goal Scorers'!$B$5:$B$104,S32))</x:f>
      </x:c>
      <x:c r="V32" s="38" t="str">
        <x:f>IF(R32="","",COUNTIF($U$13:$U$112,"&gt;"&amp;U32)*100000+COUNTIFS($U$13:$U$112,U32,$R$13:$R$112,"&lt;="&amp;R32)*100+COUNTIFS($U$13:$U$112,U32,$R$13:$R$112,R32,$T$13:$T$112,"&lt;="&amp;T32))</x:f>
      </x:c>
    </x:row>
    <x:row r="33" ht="15" hidden="0" customHeight="1">
      <x:c r="A33" s="48" t="str">
        <x:f>Standings!A25</x:f>
      </x:c>
      <x:c r="B33" s="38" t="str">
        <x:f>Standings!B25</x:f>
      </x:c>
      <x:c r="C33" s="38" t="str">
        <x:f>Standings!D25</x:f>
      </x:c>
      <x:c r="D33" s="38" t="str">
        <x:f>Standings!E25</x:f>
      </x:c>
      <x:c r="E33" s="38" t="str">
        <x:f>Standings!F25</x:f>
      </x:c>
      <x:c r="F33" s="38" t="str">
        <x:f>Standings!G25</x:f>
      </x:c>
      <x:c r="G33" s="38" t="str">
        <x:f>Standings!H25</x:f>
      </x:c>
      <x:c r="H33" s="38" t="str">
        <x:f>Standings!I25</x:f>
      </x:c>
      <x:c r="I33" s="38" t="str">
        <x:f>Standings!J25</x:f>
      </x:c>
      <x:c r="J33" s="38" t="str">
        <x:f>Standings!K25</x:f>
      </x:c>
      <x:c r="K33" s="49" t="str">
        <x:f>Standings!L25</x:f>
      </x:c>
      <x:c r="L33" s="38"/>
      <x:c r="M33" s="38"/>
      <x:c r="N33" s="38"/>
      <x:c r="O33" s="38"/>
      <x:c r="P33" s="38"/>
      <x:c r="Q33" s="38"/>
      <x:c r="R33" s="38" t="str">
        <x:f>IF(OR('Goal Scorers'!C25="",'Goal Scorers'!C25="Walkover",'Goal Scorers'!E25&lt;=0,COUNTIFS('Goal Scorers'!$C$5:C25,'Goal Scorers'!C25,'Goal Scorers'!$B$5:B25,'Goal Scorers'!B25)&gt;1),"",'Goal Scorers'!C25)</x:f>
      </x:c>
      <x:c r="S33" s="38" t="str">
        <x:f>IF(R33="","",'Goal Scorers'!B25)</x:f>
      </x:c>
      <x:c r="T33" s="38" t="str">
        <x:f>IF(R33="","",XLOOKUP(S33,Teams!$A$5:$A$36,Teams!$C$5:$C$36,""))</x:f>
      </x:c>
      <x:c r="U33" s="38" t="str">
        <x:f>IF(R33="","",SUMIFS('Goal Scorers'!$E$5:$E$104,'Goal Scorers'!$C$5:$C$104,R33,'Goal Scorers'!$B$5:$B$104,S33))</x:f>
      </x:c>
      <x:c r="V33" s="38" t="str">
        <x:f>IF(R33="","",COUNTIF($U$13:$U$112,"&gt;"&amp;U33)*100000+COUNTIFS($U$13:$U$112,U33,$R$13:$R$112,"&lt;="&amp;R33)*100+COUNTIFS($U$13:$U$112,U33,$R$13:$R$112,R33,$T$13:$T$112,"&lt;="&amp;T33))</x:f>
      </x:c>
    </x:row>
    <x:row r="34" ht="15" hidden="0" customHeight="1">
      <x:c r="A34" s="48" t="str">
        <x:f>Standings!A26</x:f>
      </x:c>
      <x:c r="B34" s="38" t="str">
        <x:f>Standings!B26</x:f>
      </x:c>
      <x:c r="C34" s="38" t="str">
        <x:f>Standings!D26</x:f>
      </x:c>
      <x:c r="D34" s="38" t="str">
        <x:f>Standings!E26</x:f>
      </x:c>
      <x:c r="E34" s="38" t="str">
        <x:f>Standings!F26</x:f>
      </x:c>
      <x:c r="F34" s="38" t="str">
        <x:f>Standings!G26</x:f>
      </x:c>
      <x:c r="G34" s="38" t="str">
        <x:f>Standings!H26</x:f>
      </x:c>
      <x:c r="H34" s="38" t="str">
        <x:f>Standings!I26</x:f>
      </x:c>
      <x:c r="I34" s="38" t="str">
        <x:f>Standings!J26</x:f>
      </x:c>
      <x:c r="J34" s="38" t="str">
        <x:f>Standings!K26</x:f>
      </x:c>
      <x:c r="K34" s="49" t="str">
        <x:f>Standings!L26</x:f>
      </x:c>
      <x:c r="L34" s="38"/>
      <x:c r="M34" s="38"/>
      <x:c r="N34" s="38"/>
      <x:c r="O34" s="38"/>
      <x:c r="P34" s="38"/>
      <x:c r="Q34" s="38"/>
      <x:c r="R34" s="38" t="str">
        <x:f>IF(OR('Goal Scorers'!C26="",'Goal Scorers'!C26="Walkover",'Goal Scorers'!E26&lt;=0,COUNTIFS('Goal Scorers'!$C$5:C26,'Goal Scorers'!C26,'Goal Scorers'!$B$5:B26,'Goal Scorers'!B26)&gt;1),"",'Goal Scorers'!C26)</x:f>
      </x:c>
      <x:c r="S34" s="38" t="str">
        <x:f>IF(R34="","",'Goal Scorers'!B26)</x:f>
      </x:c>
      <x:c r="T34" s="38" t="str">
        <x:f>IF(R34="","",XLOOKUP(S34,Teams!$A$5:$A$36,Teams!$C$5:$C$36,""))</x:f>
      </x:c>
      <x:c r="U34" s="38" t="str">
        <x:f>IF(R34="","",SUMIFS('Goal Scorers'!$E$5:$E$104,'Goal Scorers'!$C$5:$C$104,R34,'Goal Scorers'!$B$5:$B$104,S34))</x:f>
      </x:c>
      <x:c r="V34" s="38" t="str">
        <x:f>IF(R34="","",COUNTIF($U$13:$U$112,"&gt;"&amp;U34)*100000+COUNTIFS($U$13:$U$112,U34,$R$13:$R$112,"&lt;="&amp;R34)*100+COUNTIFS($U$13:$U$112,U34,$R$13:$R$112,R34,$T$13:$T$112,"&lt;="&amp;T34))</x:f>
      </x:c>
    </x:row>
    <x:row r="35" ht="15" hidden="0" customHeight="1">
      <x:c r="A35" s="48" t="str">
        <x:f>Standings!A27</x:f>
      </x:c>
      <x:c r="B35" s="38" t="str">
        <x:f>Standings!B27</x:f>
      </x:c>
      <x:c r="C35" s="38" t="str">
        <x:f>Standings!D27</x:f>
      </x:c>
      <x:c r="D35" s="38" t="str">
        <x:f>Standings!E27</x:f>
      </x:c>
      <x:c r="E35" s="38" t="str">
        <x:f>Standings!F27</x:f>
      </x:c>
      <x:c r="F35" s="38" t="str">
        <x:f>Standings!G27</x:f>
      </x:c>
      <x:c r="G35" s="38" t="str">
        <x:f>Standings!H27</x:f>
      </x:c>
      <x:c r="H35" s="38" t="str">
        <x:f>Standings!I27</x:f>
      </x:c>
      <x:c r="I35" s="38" t="str">
        <x:f>Standings!J27</x:f>
      </x:c>
      <x:c r="J35" s="38" t="str">
        <x:f>Standings!K27</x:f>
      </x:c>
      <x:c r="K35" s="49" t="str">
        <x:f>Standings!L27</x:f>
      </x:c>
      <x:c r="L35" s="38"/>
      <x:c r="M35" s="38"/>
      <x:c r="N35" s="38"/>
      <x:c r="O35" s="38"/>
      <x:c r="P35" s="38"/>
      <x:c r="Q35" s="38"/>
      <x:c r="R35" s="38" t="str">
        <x:f>IF(OR('Goal Scorers'!C27="",'Goal Scorers'!C27="Walkover",'Goal Scorers'!E27&lt;=0,COUNTIFS('Goal Scorers'!$C$5:C27,'Goal Scorers'!C27,'Goal Scorers'!$B$5:B27,'Goal Scorers'!B27)&gt;1),"",'Goal Scorers'!C27)</x:f>
      </x:c>
      <x:c r="S35" s="38" t="str">
        <x:f>IF(R35="","",'Goal Scorers'!B27)</x:f>
      </x:c>
      <x:c r="T35" s="38" t="str">
        <x:f>IF(R35="","",XLOOKUP(S35,Teams!$A$5:$A$36,Teams!$C$5:$C$36,""))</x:f>
      </x:c>
      <x:c r="U35" s="38" t="str">
        <x:f>IF(R35="","",SUMIFS('Goal Scorers'!$E$5:$E$104,'Goal Scorers'!$C$5:$C$104,R35,'Goal Scorers'!$B$5:$B$104,S35))</x:f>
      </x:c>
      <x:c r="V35" s="38" t="str">
        <x:f>IF(R35="","",COUNTIF($U$13:$U$112,"&gt;"&amp;U35)*100000+COUNTIFS($U$13:$U$112,U35,$R$13:$R$112,"&lt;="&amp;R35)*100+COUNTIFS($U$13:$U$112,U35,$R$13:$R$112,R35,$T$13:$T$112,"&lt;="&amp;T35))</x:f>
      </x:c>
    </x:row>
    <x:row r="36" ht="15" hidden="0" customHeight="1">
      <x:c r="A36" s="48" t="str">
        <x:f>Standings!A28</x:f>
      </x:c>
      <x:c r="B36" s="38" t="str">
        <x:f>Standings!B28</x:f>
      </x:c>
      <x:c r="C36" s="38" t="str">
        <x:f>Standings!D28</x:f>
      </x:c>
      <x:c r="D36" s="38" t="str">
        <x:f>Standings!E28</x:f>
      </x:c>
      <x:c r="E36" s="38" t="str">
        <x:f>Standings!F28</x:f>
      </x:c>
      <x:c r="F36" s="38" t="str">
        <x:f>Standings!G28</x:f>
      </x:c>
      <x:c r="G36" s="38" t="str">
        <x:f>Standings!H28</x:f>
      </x:c>
      <x:c r="H36" s="38" t="str">
        <x:f>Standings!I28</x:f>
      </x:c>
      <x:c r="I36" s="38" t="str">
        <x:f>Standings!J28</x:f>
      </x:c>
      <x:c r="J36" s="38" t="str">
        <x:f>Standings!K28</x:f>
      </x:c>
      <x:c r="K36" s="49" t="str">
        <x:f>Standings!L28</x:f>
      </x:c>
      <x:c r="L36" s="38"/>
      <x:c r="M36" s="38"/>
      <x:c r="N36" s="38"/>
      <x:c r="O36" s="38"/>
      <x:c r="P36" s="38"/>
      <x:c r="Q36" s="38"/>
      <x:c r="R36" s="38" t="str">
        <x:f>IF(OR('Goal Scorers'!C28="",'Goal Scorers'!C28="Walkover",'Goal Scorers'!E28&lt;=0,COUNTIFS('Goal Scorers'!$C$5:C28,'Goal Scorers'!C28,'Goal Scorers'!$B$5:B28,'Goal Scorers'!B28)&gt;1),"",'Goal Scorers'!C28)</x:f>
      </x:c>
      <x:c r="S36" s="38" t="str">
        <x:f>IF(R36="","",'Goal Scorers'!B28)</x:f>
      </x:c>
      <x:c r="T36" s="38" t="str">
        <x:f>IF(R36="","",XLOOKUP(S36,Teams!$A$5:$A$36,Teams!$C$5:$C$36,""))</x:f>
      </x:c>
      <x:c r="U36" s="38" t="str">
        <x:f>IF(R36="","",SUMIFS('Goal Scorers'!$E$5:$E$104,'Goal Scorers'!$C$5:$C$104,R36,'Goal Scorers'!$B$5:$B$104,S36))</x:f>
      </x:c>
      <x:c r="V36" s="38" t="str">
        <x:f>IF(R36="","",COUNTIF($U$13:$U$112,"&gt;"&amp;U36)*100000+COUNTIFS($U$13:$U$112,U36,$R$13:$R$112,"&lt;="&amp;R36)*100+COUNTIFS($U$13:$U$112,U36,$R$13:$R$112,R36,$T$13:$T$112,"&lt;="&amp;T36))</x:f>
      </x:c>
    </x:row>
    <x:row r="37" ht="15" hidden="0" customHeight="1">
      <x:c r="A37" s="48" t="str">
        <x:f>Standings!A29</x:f>
      </x:c>
      <x:c r="B37" s="38" t="str">
        <x:f>Standings!B29</x:f>
      </x:c>
      <x:c r="C37" s="38" t="str">
        <x:f>Standings!D29</x:f>
      </x:c>
      <x:c r="D37" s="38" t="str">
        <x:f>Standings!E29</x:f>
      </x:c>
      <x:c r="E37" s="38" t="str">
        <x:f>Standings!F29</x:f>
      </x:c>
      <x:c r="F37" s="38" t="str">
        <x:f>Standings!G29</x:f>
      </x:c>
      <x:c r="G37" s="38" t="str">
        <x:f>Standings!H29</x:f>
      </x:c>
      <x:c r="H37" s="38" t="str">
        <x:f>Standings!I29</x:f>
      </x:c>
      <x:c r="I37" s="38" t="str">
        <x:f>Standings!J29</x:f>
      </x:c>
      <x:c r="J37" s="38" t="str">
        <x:f>Standings!K29</x:f>
      </x:c>
      <x:c r="K37" s="49" t="str">
        <x:f>Standings!L29</x:f>
      </x:c>
      <x:c r="L37" s="38"/>
      <x:c r="M37" s="38"/>
      <x:c r="N37" s="38"/>
      <x:c r="O37" s="38"/>
      <x:c r="P37" s="38"/>
      <x:c r="Q37" s="38"/>
      <x:c r="R37" s="38" t="str">
        <x:f>IF(OR('Goal Scorers'!C29="",'Goal Scorers'!C29="Walkover",'Goal Scorers'!E29&lt;=0,COUNTIFS('Goal Scorers'!$C$5:C29,'Goal Scorers'!C29,'Goal Scorers'!$B$5:B29,'Goal Scorers'!B29)&gt;1),"",'Goal Scorers'!C29)</x:f>
      </x:c>
      <x:c r="S37" s="38" t="str">
        <x:f>IF(R37="","",'Goal Scorers'!B29)</x:f>
      </x:c>
      <x:c r="T37" s="38" t="str">
        <x:f>IF(R37="","",XLOOKUP(S37,Teams!$A$5:$A$36,Teams!$C$5:$C$36,""))</x:f>
      </x:c>
      <x:c r="U37" s="38" t="str">
        <x:f>IF(R37="","",SUMIFS('Goal Scorers'!$E$5:$E$104,'Goal Scorers'!$C$5:$C$104,R37,'Goal Scorers'!$B$5:$B$104,S37))</x:f>
      </x:c>
      <x:c r="V37" s="38" t="str">
        <x:f>IF(R37="","",COUNTIF($U$13:$U$112,"&gt;"&amp;U37)*100000+COUNTIFS($U$13:$U$112,U37,$R$13:$R$112,"&lt;="&amp;R37)*100+COUNTIFS($U$13:$U$112,U37,$R$13:$R$112,R37,$T$13:$T$112,"&lt;="&amp;T37))</x:f>
      </x:c>
    </x:row>
    <x:row r="38" ht="15" hidden="0" customHeight="1">
      <x:c r="A38" s="48" t="str">
        <x:f>Standings!A30</x:f>
      </x:c>
      <x:c r="B38" s="38" t="str">
        <x:f>Standings!B30</x:f>
      </x:c>
      <x:c r="C38" s="38" t="str">
        <x:f>Standings!D30</x:f>
      </x:c>
      <x:c r="D38" s="38" t="str">
        <x:f>Standings!E30</x:f>
      </x:c>
      <x:c r="E38" s="38" t="str">
        <x:f>Standings!F30</x:f>
      </x:c>
      <x:c r="F38" s="38" t="str">
        <x:f>Standings!G30</x:f>
      </x:c>
      <x:c r="G38" s="38" t="str">
        <x:f>Standings!H30</x:f>
      </x:c>
      <x:c r="H38" s="38" t="str">
        <x:f>Standings!I30</x:f>
      </x:c>
      <x:c r="I38" s="38" t="str">
        <x:f>Standings!J30</x:f>
      </x:c>
      <x:c r="J38" s="38" t="str">
        <x:f>Standings!K30</x:f>
      </x:c>
      <x:c r="K38" s="49" t="str">
        <x:f>Standings!L30</x:f>
      </x:c>
      <x:c r="L38" s="38"/>
      <x:c r="M38" s="38"/>
      <x:c r="N38" s="38"/>
      <x:c r="O38" s="38"/>
      <x:c r="P38" s="38"/>
      <x:c r="Q38" s="38"/>
      <x:c r="R38" s="38" t="str">
        <x:f>IF(OR('Goal Scorers'!C30="",'Goal Scorers'!C30="Walkover",'Goal Scorers'!E30&lt;=0,COUNTIFS('Goal Scorers'!$C$5:C30,'Goal Scorers'!C30,'Goal Scorers'!$B$5:B30,'Goal Scorers'!B30)&gt;1),"",'Goal Scorers'!C30)</x:f>
      </x:c>
      <x:c r="S38" s="38" t="str">
        <x:f>IF(R38="","",'Goal Scorers'!B30)</x:f>
      </x:c>
      <x:c r="T38" s="38" t="str">
        <x:f>IF(R38="","",XLOOKUP(S38,Teams!$A$5:$A$36,Teams!$C$5:$C$36,""))</x:f>
      </x:c>
      <x:c r="U38" s="38" t="str">
        <x:f>IF(R38="","",SUMIFS('Goal Scorers'!$E$5:$E$104,'Goal Scorers'!$C$5:$C$104,R38,'Goal Scorers'!$B$5:$B$104,S38))</x:f>
      </x:c>
      <x:c r="V38" s="38" t="str">
        <x:f>IF(R38="","",COUNTIF($U$13:$U$112,"&gt;"&amp;U38)*100000+COUNTIFS($U$13:$U$112,U38,$R$13:$R$112,"&lt;="&amp;R38)*100+COUNTIFS($U$13:$U$112,U38,$R$13:$R$112,R38,$T$13:$T$112,"&lt;="&amp;T38))</x:f>
      </x:c>
    </x:row>
    <x:row r="39" ht="15" hidden="0" customHeight="1">
      <x:c r="A39" s="48" t="str">
        <x:f>Standings!A31</x:f>
      </x:c>
      <x:c r="B39" s="38" t="str">
        <x:f>Standings!B31</x:f>
      </x:c>
      <x:c r="C39" s="38" t="str">
        <x:f>Standings!D31</x:f>
      </x:c>
      <x:c r="D39" s="38" t="str">
        <x:f>Standings!E31</x:f>
      </x:c>
      <x:c r="E39" s="38" t="str">
        <x:f>Standings!F31</x:f>
      </x:c>
      <x:c r="F39" s="38" t="str">
        <x:f>Standings!G31</x:f>
      </x:c>
      <x:c r="G39" s="38" t="str">
        <x:f>Standings!H31</x:f>
      </x:c>
      <x:c r="H39" s="38" t="str">
        <x:f>Standings!I31</x:f>
      </x:c>
      <x:c r="I39" s="38" t="str">
        <x:f>Standings!J31</x:f>
      </x:c>
      <x:c r="J39" s="38" t="str">
        <x:f>Standings!K31</x:f>
      </x:c>
      <x:c r="K39" s="49" t="str">
        <x:f>Standings!L31</x:f>
      </x:c>
      <x:c r="L39" s="38"/>
      <x:c r="M39" s="38"/>
      <x:c r="N39" s="38"/>
      <x:c r="O39" s="38"/>
      <x:c r="P39" s="38"/>
      <x:c r="Q39" s="38"/>
      <x:c r="R39" s="38" t="str">
        <x:f>IF(OR('Goal Scorers'!C31="",'Goal Scorers'!C31="Walkover",'Goal Scorers'!E31&lt;=0,COUNTIFS('Goal Scorers'!$C$5:C31,'Goal Scorers'!C31,'Goal Scorers'!$B$5:B31,'Goal Scorers'!B31)&gt;1),"",'Goal Scorers'!C31)</x:f>
      </x:c>
      <x:c r="S39" s="38" t="str">
        <x:f>IF(R39="","",'Goal Scorers'!B31)</x:f>
      </x:c>
      <x:c r="T39" s="38" t="str">
        <x:f>IF(R39="","",XLOOKUP(S39,Teams!$A$5:$A$36,Teams!$C$5:$C$36,""))</x:f>
      </x:c>
      <x:c r="U39" s="38" t="str">
        <x:f>IF(R39="","",SUMIFS('Goal Scorers'!$E$5:$E$104,'Goal Scorers'!$C$5:$C$104,R39,'Goal Scorers'!$B$5:$B$104,S39))</x:f>
      </x:c>
      <x:c r="V39" s="38" t="str">
        <x:f>IF(R39="","",COUNTIF($U$13:$U$112,"&gt;"&amp;U39)*100000+COUNTIFS($U$13:$U$112,U39,$R$13:$R$112,"&lt;="&amp;R39)*100+COUNTIFS($U$13:$U$112,U39,$R$13:$R$112,R39,$T$13:$T$112,"&lt;="&amp;T39))</x:f>
      </x:c>
    </x:row>
    <x:row r="40" ht="15" hidden="0" customHeight="1">
      <x:c r="A40" s="48" t="str">
        <x:f>Standings!A32</x:f>
      </x:c>
      <x:c r="B40" s="38" t="str">
        <x:f>Standings!B32</x:f>
      </x:c>
      <x:c r="C40" s="38" t="str">
        <x:f>Standings!D32</x:f>
      </x:c>
      <x:c r="D40" s="38" t="str">
        <x:f>Standings!E32</x:f>
      </x:c>
      <x:c r="E40" s="38" t="str">
        <x:f>Standings!F32</x:f>
      </x:c>
      <x:c r="F40" s="38" t="str">
        <x:f>Standings!G32</x:f>
      </x:c>
      <x:c r="G40" s="38" t="str">
        <x:f>Standings!H32</x:f>
      </x:c>
      <x:c r="H40" s="38" t="str">
        <x:f>Standings!I32</x:f>
      </x:c>
      <x:c r="I40" s="38" t="str">
        <x:f>Standings!J32</x:f>
      </x:c>
      <x:c r="J40" s="38" t="str">
        <x:f>Standings!K32</x:f>
      </x:c>
      <x:c r="K40" s="49" t="str">
        <x:f>Standings!L32</x:f>
      </x:c>
      <x:c r="L40" s="38"/>
      <x:c r="M40" s="38"/>
      <x:c r="N40" s="38"/>
      <x:c r="O40" s="38"/>
      <x:c r="P40" s="38"/>
      <x:c r="Q40" s="38"/>
      <x:c r="R40" s="38" t="str">
        <x:f>IF(OR('Goal Scorers'!C32="",'Goal Scorers'!C32="Walkover",'Goal Scorers'!E32&lt;=0,COUNTIFS('Goal Scorers'!$C$5:C32,'Goal Scorers'!C32,'Goal Scorers'!$B$5:B32,'Goal Scorers'!B32)&gt;1),"",'Goal Scorers'!C32)</x:f>
      </x:c>
      <x:c r="S40" s="38" t="str">
        <x:f>IF(R40="","",'Goal Scorers'!B32)</x:f>
      </x:c>
      <x:c r="T40" s="38" t="str">
        <x:f>IF(R40="","",XLOOKUP(S40,Teams!$A$5:$A$36,Teams!$C$5:$C$36,""))</x:f>
      </x:c>
      <x:c r="U40" s="38" t="str">
        <x:f>IF(R40="","",SUMIFS('Goal Scorers'!$E$5:$E$104,'Goal Scorers'!$C$5:$C$104,R40,'Goal Scorers'!$B$5:$B$104,S40))</x:f>
      </x:c>
      <x:c r="V40" s="38" t="str">
        <x:f>IF(R40="","",COUNTIF($U$13:$U$112,"&gt;"&amp;U40)*100000+COUNTIFS($U$13:$U$112,U40,$R$13:$R$112,"&lt;="&amp;R40)*100+COUNTIFS($U$13:$U$112,U40,$R$13:$R$112,R40,$T$13:$T$112,"&lt;="&amp;T40))</x:f>
      </x:c>
    </x:row>
    <x:row r="41" ht="15" hidden="0" customHeight="1">
      <x:c r="A41" s="48" t="str">
        <x:f>Standings!A33</x:f>
      </x:c>
      <x:c r="B41" s="38" t="str">
        <x:f>Standings!B33</x:f>
      </x:c>
      <x:c r="C41" s="38" t="str">
        <x:f>Standings!D33</x:f>
      </x:c>
      <x:c r="D41" s="38" t="str">
        <x:f>Standings!E33</x:f>
      </x:c>
      <x:c r="E41" s="38" t="str">
        <x:f>Standings!F33</x:f>
      </x:c>
      <x:c r="F41" s="38" t="str">
        <x:f>Standings!G33</x:f>
      </x:c>
      <x:c r="G41" s="38" t="str">
        <x:f>Standings!H33</x:f>
      </x:c>
      <x:c r="H41" s="38" t="str">
        <x:f>Standings!I33</x:f>
      </x:c>
      <x:c r="I41" s="38" t="str">
        <x:f>Standings!J33</x:f>
      </x:c>
      <x:c r="J41" s="38" t="str">
        <x:f>Standings!K33</x:f>
      </x:c>
      <x:c r="K41" s="49" t="str">
        <x:f>Standings!L33</x:f>
      </x:c>
      <x:c r="L41" s="38"/>
      <x:c r="M41" s="38"/>
      <x:c r="N41" s="38"/>
      <x:c r="O41" s="38"/>
      <x:c r="P41" s="38"/>
      <x:c r="Q41" s="38"/>
      <x:c r="R41" s="38" t="str">
        <x:f>IF(OR('Goal Scorers'!C33="",'Goal Scorers'!C33="Walkover",'Goal Scorers'!E33&lt;=0,COUNTIFS('Goal Scorers'!$C$5:C33,'Goal Scorers'!C33,'Goal Scorers'!$B$5:B33,'Goal Scorers'!B33)&gt;1),"",'Goal Scorers'!C33)</x:f>
      </x:c>
      <x:c r="S41" s="38" t="str">
        <x:f>IF(R41="","",'Goal Scorers'!B33)</x:f>
      </x:c>
      <x:c r="T41" s="38" t="str">
        <x:f>IF(R41="","",XLOOKUP(S41,Teams!$A$5:$A$36,Teams!$C$5:$C$36,""))</x:f>
      </x:c>
      <x:c r="U41" s="38" t="str">
        <x:f>IF(R41="","",SUMIFS('Goal Scorers'!$E$5:$E$104,'Goal Scorers'!$C$5:$C$104,R41,'Goal Scorers'!$B$5:$B$104,S41))</x:f>
      </x:c>
      <x:c r="V41" s="38" t="str">
        <x:f>IF(R41="","",COUNTIF($U$13:$U$112,"&gt;"&amp;U41)*100000+COUNTIFS($U$13:$U$112,U41,$R$13:$R$112,"&lt;="&amp;R41)*100+COUNTIFS($U$13:$U$112,U41,$R$13:$R$112,R41,$T$13:$T$112,"&lt;="&amp;T41))</x:f>
      </x:c>
    </x:row>
    <x:row r="42" ht="15" hidden="0" customHeight="1">
      <x:c r="A42" s="48" t="str">
        <x:f>Standings!A34</x:f>
      </x:c>
      <x:c r="B42" s="38" t="str">
        <x:f>Standings!B34</x:f>
      </x:c>
      <x:c r="C42" s="38" t="str">
        <x:f>Standings!D34</x:f>
      </x:c>
      <x:c r="D42" s="38" t="str">
        <x:f>Standings!E34</x:f>
      </x:c>
      <x:c r="E42" s="38" t="str">
        <x:f>Standings!F34</x:f>
      </x:c>
      <x:c r="F42" s="38" t="str">
        <x:f>Standings!G34</x:f>
      </x:c>
      <x:c r="G42" s="38" t="str">
        <x:f>Standings!H34</x:f>
      </x:c>
      <x:c r="H42" s="38" t="str">
        <x:f>Standings!I34</x:f>
      </x:c>
      <x:c r="I42" s="38" t="str">
        <x:f>Standings!J34</x:f>
      </x:c>
      <x:c r="J42" s="38" t="str">
        <x:f>Standings!K34</x:f>
      </x:c>
      <x:c r="K42" s="49" t="str">
        <x:f>Standings!L34</x:f>
      </x:c>
      <x:c r="L42" s="38"/>
      <x:c r="M42" s="38"/>
      <x:c r="N42" s="38"/>
      <x:c r="O42" s="38"/>
      <x:c r="P42" s="38"/>
      <x:c r="Q42" s="38"/>
      <x:c r="R42" s="38" t="str">
        <x:f>IF(OR('Goal Scorers'!C34="",'Goal Scorers'!C34="Walkover",'Goal Scorers'!E34&lt;=0,COUNTIFS('Goal Scorers'!$C$5:C34,'Goal Scorers'!C34,'Goal Scorers'!$B$5:B34,'Goal Scorers'!B34)&gt;1),"",'Goal Scorers'!C34)</x:f>
      </x:c>
      <x:c r="S42" s="38" t="str">
        <x:f>IF(R42="","",'Goal Scorers'!B34)</x:f>
      </x:c>
      <x:c r="T42" s="38" t="str">
        <x:f>IF(R42="","",XLOOKUP(S42,Teams!$A$5:$A$36,Teams!$C$5:$C$36,""))</x:f>
      </x:c>
      <x:c r="U42" s="38" t="str">
        <x:f>IF(R42="","",SUMIFS('Goal Scorers'!$E$5:$E$104,'Goal Scorers'!$C$5:$C$104,R42,'Goal Scorers'!$B$5:$B$104,S42))</x:f>
      </x:c>
      <x:c r="V42" s="38" t="str">
        <x:f>IF(R42="","",COUNTIF($U$13:$U$112,"&gt;"&amp;U42)*100000+COUNTIFS($U$13:$U$112,U42,$R$13:$R$112,"&lt;="&amp;R42)*100+COUNTIFS($U$13:$U$112,U42,$R$13:$R$112,R42,$T$13:$T$112,"&lt;="&amp;T42))</x:f>
      </x:c>
    </x:row>
    <x:row r="43" ht="15" hidden="0" customHeight="1">
      <x:c r="A43" s="48" t="str">
        <x:f>Standings!A35</x:f>
      </x:c>
      <x:c r="B43" s="38" t="str">
        <x:f>Standings!B35</x:f>
      </x:c>
      <x:c r="C43" s="38" t="str">
        <x:f>Standings!D35</x:f>
      </x:c>
      <x:c r="D43" s="38" t="str">
        <x:f>Standings!E35</x:f>
      </x:c>
      <x:c r="E43" s="38" t="str">
        <x:f>Standings!F35</x:f>
      </x:c>
      <x:c r="F43" s="38" t="str">
        <x:f>Standings!G35</x:f>
      </x:c>
      <x:c r="G43" s="38" t="str">
        <x:f>Standings!H35</x:f>
      </x:c>
      <x:c r="H43" s="38" t="str">
        <x:f>Standings!I35</x:f>
      </x:c>
      <x:c r="I43" s="38" t="str">
        <x:f>Standings!J35</x:f>
      </x:c>
      <x:c r="J43" s="38" t="str">
        <x:f>Standings!K35</x:f>
      </x:c>
      <x:c r="K43" s="49" t="str">
        <x:f>Standings!L35</x:f>
      </x:c>
      <x:c r="L43" s="38"/>
      <x:c r="M43" s="38"/>
      <x:c r="N43" s="38"/>
      <x:c r="O43" s="38"/>
      <x:c r="P43" s="38"/>
      <x:c r="Q43" s="38"/>
      <x:c r="R43" s="38" t="str">
        <x:f>IF(OR('Goal Scorers'!C35="",'Goal Scorers'!C35="Walkover",'Goal Scorers'!E35&lt;=0,COUNTIFS('Goal Scorers'!$C$5:C35,'Goal Scorers'!C35,'Goal Scorers'!$B$5:B35,'Goal Scorers'!B35)&gt;1),"",'Goal Scorers'!C35)</x:f>
      </x:c>
      <x:c r="S43" s="38" t="str">
        <x:f>IF(R43="","",'Goal Scorers'!B35)</x:f>
      </x:c>
      <x:c r="T43" s="38" t="str">
        <x:f>IF(R43="","",XLOOKUP(S43,Teams!$A$5:$A$36,Teams!$C$5:$C$36,""))</x:f>
      </x:c>
      <x:c r="U43" s="38" t="str">
        <x:f>IF(R43="","",SUMIFS('Goal Scorers'!$E$5:$E$104,'Goal Scorers'!$C$5:$C$104,R43,'Goal Scorers'!$B$5:$B$104,S43))</x:f>
      </x:c>
      <x:c r="V43" s="38" t="str">
        <x:f>IF(R43="","",COUNTIF($U$13:$U$112,"&gt;"&amp;U43)*100000+COUNTIFS($U$13:$U$112,U43,$R$13:$R$112,"&lt;="&amp;R43)*100+COUNTIFS($U$13:$U$112,U43,$R$13:$R$112,R43,$T$13:$T$112,"&lt;="&amp;T43))</x:f>
      </x:c>
    </x:row>
    <x:row r="44" ht="15" hidden="0" customHeight="1">
      <x:c r="A44" s="50" t="n">
        <x:f>Standings!A36</x:f>
        <x:v>0</x:v>
      </x:c>
      <x:c r="B44" s="51" t="n">
        <x:f>Standings!B36</x:f>
        <x:v>0</x:v>
      </x:c>
      <x:c r="C44" s="51" t="n">
        <x:f>Standings!D36</x:f>
        <x:v>0</x:v>
      </x:c>
      <x:c r="D44" s="51" t="n">
        <x:f>Standings!E36</x:f>
        <x:v>0</x:v>
      </x:c>
      <x:c r="E44" s="51" t="n">
        <x:f>Standings!F36</x:f>
        <x:v>0</x:v>
      </x:c>
      <x:c r="F44" s="51" t="n">
        <x:f>Standings!G36</x:f>
        <x:v>0</x:v>
      </x:c>
      <x:c r="G44" s="51" t="n">
        <x:f>Standings!H36</x:f>
        <x:v>0</x:v>
      </x:c>
      <x:c r="H44" s="51" t="n">
        <x:f>Standings!I36</x:f>
        <x:v>0</x:v>
      </x:c>
      <x:c r="I44" s="51" t="n">
        <x:f>Standings!J36</x:f>
        <x:v>0</x:v>
      </x:c>
      <x:c r="J44" s="51" t="n">
        <x:f>Standings!K36</x:f>
        <x:v>0</x:v>
      </x:c>
      <x:c r="K44" s="52" t="n">
        <x:f>Standings!L36</x:f>
        <x:v>0</x:v>
      </x:c>
      <x:c r="L44" s="38"/>
      <x:c r="M44" s="38"/>
      <x:c r="N44" s="38"/>
      <x:c r="O44" s="38"/>
      <x:c r="P44" s="38"/>
      <x:c r="Q44" s="38"/>
      <x:c r="R44" s="38" t="str">
        <x:f>IF(OR('Goal Scorers'!C36="",'Goal Scorers'!C36="Walkover",'Goal Scorers'!E36&lt;=0,COUNTIFS('Goal Scorers'!$C$5:C36,'Goal Scorers'!C36,'Goal Scorers'!$B$5:B36,'Goal Scorers'!B36)&gt;1),"",'Goal Scorers'!C36)</x:f>
      </x:c>
      <x:c r="S44" s="38" t="str">
        <x:f>IF(R44="","",'Goal Scorers'!B36)</x:f>
      </x:c>
      <x:c r="T44" s="38" t="str">
        <x:f>IF(R44="","",XLOOKUP(S44,Teams!$A$5:$A$36,Teams!$C$5:$C$36,""))</x:f>
      </x:c>
      <x:c r="U44" s="38" t="str">
        <x:f>IF(R44="","",SUMIFS('Goal Scorers'!$E$5:$E$104,'Goal Scorers'!$C$5:$C$104,R44,'Goal Scorers'!$B$5:$B$104,S44))</x:f>
      </x:c>
      <x:c r="V44" s="38" t="str">
        <x:f>IF(R44="","",COUNTIF($U$13:$U$112,"&gt;"&amp;U44)*100000+COUNTIFS($U$13:$U$112,U44,$R$13:$R$112,"&lt;="&amp;R44)*100+COUNTIFS($U$13:$U$112,U44,$R$13:$R$112,R44,$T$13:$T$112,"&lt;="&amp;T44))</x:f>
      </x:c>
    </x:row>
    <x:row r="45" ht="15" hidden="0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 t="str">
        <x:f>IF(OR('Goal Scorers'!C37="",'Goal Scorers'!C37="Walkover",'Goal Scorers'!E37&lt;=0,COUNTIFS('Goal Scorers'!$C$5:C37,'Goal Scorers'!C37,'Goal Scorers'!$B$5:B37,'Goal Scorers'!B37)&gt;1),"",'Goal Scorers'!C37)</x:f>
      </x:c>
      <x:c r="S45" s="38" t="str">
        <x:f>IF(R45="","",'Goal Scorers'!B37)</x:f>
      </x:c>
      <x:c r="T45" s="38" t="str">
        <x:f>IF(R45="","",XLOOKUP(S45,Teams!$A$5:$A$36,Teams!$C$5:$C$36,""))</x:f>
      </x:c>
      <x:c r="U45" s="38" t="str">
        <x:f>IF(R45="","",SUMIFS('Goal Scorers'!$E$5:$E$104,'Goal Scorers'!$C$5:$C$104,R45,'Goal Scorers'!$B$5:$B$104,S45))</x:f>
      </x:c>
      <x:c r="V45" s="38" t="str">
        <x:f>IF(R45="","",COUNTIF($U$13:$U$112,"&gt;"&amp;U45)*100000+COUNTIFS($U$13:$U$112,U45,$R$13:$R$112,"&lt;="&amp;R45)*100+COUNTIFS($U$13:$U$112,U45,$R$13:$R$112,R45,$T$13:$T$112,"&lt;="&amp;T45))</x:f>
      </x:c>
    </x:row>
    <x:row r="46" ht="15" hidden="0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 t="str">
        <x:f>IF(OR('Goal Scorers'!C38="",'Goal Scorers'!C38="Walkover",'Goal Scorers'!E38&lt;=0,COUNTIFS('Goal Scorers'!$C$5:C38,'Goal Scorers'!C38,'Goal Scorers'!$B$5:B38,'Goal Scorers'!B38)&gt;1),"",'Goal Scorers'!C38)</x:f>
      </x:c>
      <x:c r="S46" s="38" t="str">
        <x:f>IF(R46="","",'Goal Scorers'!B38)</x:f>
      </x:c>
      <x:c r="T46" s="38" t="str">
        <x:f>IF(R46="","",XLOOKUP(S46,Teams!$A$5:$A$36,Teams!$C$5:$C$36,""))</x:f>
      </x:c>
      <x:c r="U46" s="38" t="str">
        <x:f>IF(R46="","",SUMIFS('Goal Scorers'!$E$5:$E$104,'Goal Scorers'!$C$5:$C$104,R46,'Goal Scorers'!$B$5:$B$104,S46))</x:f>
      </x:c>
      <x:c r="V46" s="38" t="str">
        <x:f>IF(R46="","",COUNTIF($U$13:$U$112,"&gt;"&amp;U46)*100000+COUNTIFS($U$13:$U$112,U46,$R$13:$R$112,"&lt;="&amp;R46)*100+COUNTIFS($U$13:$U$112,U46,$R$13:$R$112,R46,$T$13:$T$112,"&lt;="&amp;T46))</x:f>
      </x:c>
    </x:row>
    <x:row r="47" ht="15" hidden="0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 t="str">
        <x:f>IF(OR('Goal Scorers'!C39="",'Goal Scorers'!C39="Walkover",'Goal Scorers'!E39&lt;=0,COUNTIFS('Goal Scorers'!$C$5:C39,'Goal Scorers'!C39,'Goal Scorers'!$B$5:B39,'Goal Scorers'!B39)&gt;1),"",'Goal Scorers'!C39)</x:f>
      </x:c>
      <x:c r="S47" s="38" t="str">
        <x:f>IF(R47="","",'Goal Scorers'!B39)</x:f>
      </x:c>
      <x:c r="T47" s="38" t="str">
        <x:f>IF(R47="","",XLOOKUP(S47,Teams!$A$5:$A$36,Teams!$C$5:$C$36,""))</x:f>
      </x:c>
      <x:c r="U47" s="38" t="str">
        <x:f>IF(R47="","",SUMIFS('Goal Scorers'!$E$5:$E$104,'Goal Scorers'!$C$5:$C$104,R47,'Goal Scorers'!$B$5:$B$104,S47))</x:f>
      </x:c>
      <x:c r="V47" s="38" t="str">
        <x:f>IF(R47="","",COUNTIF($U$13:$U$112,"&gt;"&amp;U47)*100000+COUNTIFS($U$13:$U$112,U47,$R$13:$R$112,"&lt;="&amp;R47)*100+COUNTIFS($U$13:$U$112,U47,$R$13:$R$112,R47,$T$13:$T$112,"&lt;="&amp;T47))</x:f>
      </x:c>
    </x:row>
    <x:row r="48" ht="15" hidden="0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 t="str">
        <x:f>IF(OR('Goal Scorers'!C40="",'Goal Scorers'!C40="Walkover",'Goal Scorers'!E40&lt;=0,COUNTIFS('Goal Scorers'!$C$5:C40,'Goal Scorers'!C40,'Goal Scorers'!$B$5:B40,'Goal Scorers'!B40)&gt;1),"",'Goal Scorers'!C40)</x:f>
      </x:c>
      <x:c r="S48" s="38" t="str">
        <x:f>IF(R48="","",'Goal Scorers'!B40)</x:f>
      </x:c>
      <x:c r="T48" s="38" t="str">
        <x:f>IF(R48="","",XLOOKUP(S48,Teams!$A$5:$A$36,Teams!$C$5:$C$36,""))</x:f>
      </x:c>
      <x:c r="U48" s="38" t="str">
        <x:f>IF(R48="","",SUMIFS('Goal Scorers'!$E$5:$E$104,'Goal Scorers'!$C$5:$C$104,R48,'Goal Scorers'!$B$5:$B$104,S48))</x:f>
      </x:c>
      <x:c r="V48" s="38" t="str">
        <x:f>IF(R48="","",COUNTIF($U$13:$U$112,"&gt;"&amp;U48)*100000+COUNTIFS($U$13:$U$112,U48,$R$13:$R$112,"&lt;="&amp;R48)*100+COUNTIFS($U$13:$U$112,U48,$R$13:$R$112,R48,$T$13:$T$112,"&lt;="&amp;T48))</x:f>
      </x:c>
    </x:row>
    <x:row r="49" ht="15" hidden="0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 t="str">
        <x:f>IF(OR('Goal Scorers'!C41="",'Goal Scorers'!C41="Walkover",'Goal Scorers'!E41&lt;=0,COUNTIFS('Goal Scorers'!$C$5:C41,'Goal Scorers'!C41,'Goal Scorers'!$B$5:B41,'Goal Scorers'!B41)&gt;1),"",'Goal Scorers'!C41)</x:f>
      </x:c>
      <x:c r="S49" s="38" t="str">
        <x:f>IF(R49="","",'Goal Scorers'!B41)</x:f>
      </x:c>
      <x:c r="T49" s="38" t="str">
        <x:f>IF(R49="","",XLOOKUP(S49,Teams!$A$5:$A$36,Teams!$C$5:$C$36,""))</x:f>
      </x:c>
      <x:c r="U49" s="38" t="str">
        <x:f>IF(R49="","",SUMIFS('Goal Scorers'!$E$5:$E$104,'Goal Scorers'!$C$5:$C$104,R49,'Goal Scorers'!$B$5:$B$104,S49))</x:f>
      </x:c>
      <x:c r="V49" s="38" t="str">
        <x:f>IF(R49="","",COUNTIF($U$13:$U$112,"&gt;"&amp;U49)*100000+COUNTIFS($U$13:$U$112,U49,$R$13:$R$112,"&lt;="&amp;R49)*100+COUNTIFS($U$13:$U$112,U49,$R$13:$R$112,R49,$T$13:$T$112,"&lt;="&amp;T49))</x:f>
      </x:c>
    </x:row>
    <x:row r="50" ht="15" hidden="0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 t="str">
        <x:f>IF(OR('Goal Scorers'!C42="",'Goal Scorers'!C42="Walkover",'Goal Scorers'!E42&lt;=0,COUNTIFS('Goal Scorers'!$C$5:C42,'Goal Scorers'!C42,'Goal Scorers'!$B$5:B42,'Goal Scorers'!B42)&gt;1),"",'Goal Scorers'!C42)</x:f>
      </x:c>
      <x:c r="S50" s="38" t="str">
        <x:f>IF(R50="","",'Goal Scorers'!B42)</x:f>
      </x:c>
      <x:c r="T50" s="38" t="str">
        <x:f>IF(R50="","",XLOOKUP(S50,Teams!$A$5:$A$36,Teams!$C$5:$C$36,""))</x:f>
      </x:c>
      <x:c r="U50" s="38" t="str">
        <x:f>IF(R50="","",SUMIFS('Goal Scorers'!$E$5:$E$104,'Goal Scorers'!$C$5:$C$104,R50,'Goal Scorers'!$B$5:$B$104,S50))</x:f>
      </x:c>
      <x:c r="V50" s="38" t="str">
        <x:f>IF(R50="","",COUNTIF($U$13:$U$112,"&gt;"&amp;U50)*100000+COUNTIFS($U$13:$U$112,U50,$R$13:$R$112,"&lt;="&amp;R50)*100+COUNTIFS($U$13:$U$112,U50,$R$13:$R$112,R50,$T$13:$T$112,"&lt;="&amp;T50))</x:f>
      </x:c>
    </x:row>
    <x:row r="51" ht="15" hidden="0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 t="str">
        <x:f>IF(OR('Goal Scorers'!C43="",'Goal Scorers'!C43="Walkover",'Goal Scorers'!E43&lt;=0,COUNTIFS('Goal Scorers'!$C$5:C43,'Goal Scorers'!C43,'Goal Scorers'!$B$5:B43,'Goal Scorers'!B43)&gt;1),"",'Goal Scorers'!C43)</x:f>
      </x:c>
      <x:c r="S51" s="38" t="str">
        <x:f>IF(R51="","",'Goal Scorers'!B43)</x:f>
      </x:c>
      <x:c r="T51" s="38" t="str">
        <x:f>IF(R51="","",XLOOKUP(S51,Teams!$A$5:$A$36,Teams!$C$5:$C$36,""))</x:f>
      </x:c>
      <x:c r="U51" s="38" t="str">
        <x:f>IF(R51="","",SUMIFS('Goal Scorers'!$E$5:$E$104,'Goal Scorers'!$C$5:$C$104,R51,'Goal Scorers'!$B$5:$B$104,S51))</x:f>
      </x:c>
      <x:c r="V51" s="38" t="str">
        <x:f>IF(R51="","",COUNTIF($U$13:$U$112,"&gt;"&amp;U51)*100000+COUNTIFS($U$13:$U$112,U51,$R$13:$R$112,"&lt;="&amp;R51)*100+COUNTIFS($U$13:$U$112,U51,$R$13:$R$112,R51,$T$13:$T$112,"&lt;="&amp;T51))</x:f>
      </x:c>
    </x:row>
    <x:row r="52" ht="15" hidden="0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 t="str">
        <x:f>IF(OR('Goal Scorers'!C44="",'Goal Scorers'!C44="Walkover",'Goal Scorers'!E44&lt;=0,COUNTIFS('Goal Scorers'!$C$5:C44,'Goal Scorers'!C44,'Goal Scorers'!$B$5:B44,'Goal Scorers'!B44)&gt;1),"",'Goal Scorers'!C44)</x:f>
      </x:c>
      <x:c r="S52" s="38" t="str">
        <x:f>IF(R52="","",'Goal Scorers'!B44)</x:f>
      </x:c>
      <x:c r="T52" s="38" t="str">
        <x:f>IF(R52="","",XLOOKUP(S52,Teams!$A$5:$A$36,Teams!$C$5:$C$36,""))</x:f>
      </x:c>
      <x:c r="U52" s="38" t="str">
        <x:f>IF(R52="","",SUMIFS('Goal Scorers'!$E$5:$E$104,'Goal Scorers'!$C$5:$C$104,R52,'Goal Scorers'!$B$5:$B$104,S52))</x:f>
      </x:c>
      <x:c r="V52" s="38" t="str">
        <x:f>IF(R52="","",COUNTIF($U$13:$U$112,"&gt;"&amp;U52)*100000+COUNTIFS($U$13:$U$112,U52,$R$13:$R$112,"&lt;="&amp;R52)*100+COUNTIFS($U$13:$U$112,U52,$R$13:$R$112,R52,$T$13:$T$112,"&lt;="&amp;T52))</x:f>
      </x:c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 t="str">
        <x:f>IF(OR('Goal Scorers'!C45="",'Goal Scorers'!C45="Walkover",'Goal Scorers'!E45&lt;=0,COUNTIFS('Goal Scorers'!$C$5:C45,'Goal Scorers'!C45,'Goal Scorers'!$B$5:B45,'Goal Scorers'!B45)&gt;1),"",'Goal Scorers'!C45)</x:f>
      </x:c>
      <x:c r="S53" s="38" t="str">
        <x:f>IF(R53="","",'Goal Scorers'!B45)</x:f>
      </x:c>
      <x:c r="T53" s="38" t="str">
        <x:f>IF(R53="","",XLOOKUP(S53,Teams!$A$5:$A$36,Teams!$C$5:$C$36,""))</x:f>
      </x:c>
      <x:c r="U53" s="38" t="str">
        <x:f>IF(R53="","",SUMIFS('Goal Scorers'!$E$5:$E$104,'Goal Scorers'!$C$5:$C$104,R53,'Goal Scorers'!$B$5:$B$104,S53))</x:f>
      </x:c>
      <x:c r="V53" s="38" t="str">
        <x:f>IF(R53="","",COUNTIF($U$13:$U$112,"&gt;"&amp;U53)*100000+COUNTIFS($U$13:$U$112,U53,$R$13:$R$112,"&lt;="&amp;R53)*100+COUNTIFS($U$13:$U$112,U53,$R$13:$R$112,R53,$T$13:$T$112,"&lt;="&amp;T53))</x:f>
      </x:c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 t="str">
        <x:f>IF(OR('Goal Scorers'!C46="",'Goal Scorers'!C46="Walkover",'Goal Scorers'!E46&lt;=0,COUNTIFS('Goal Scorers'!$C$5:C46,'Goal Scorers'!C46,'Goal Scorers'!$B$5:B46,'Goal Scorers'!B46)&gt;1),"",'Goal Scorers'!C46)</x:f>
      </x:c>
      <x:c r="S54" s="38" t="str">
        <x:f>IF(R54="","",'Goal Scorers'!B46)</x:f>
      </x:c>
      <x:c r="T54" s="38" t="str">
        <x:f>IF(R54="","",XLOOKUP(S54,Teams!$A$5:$A$36,Teams!$C$5:$C$36,""))</x:f>
      </x:c>
      <x:c r="U54" s="38" t="str">
        <x:f>IF(R54="","",SUMIFS('Goal Scorers'!$E$5:$E$104,'Goal Scorers'!$C$5:$C$104,R54,'Goal Scorers'!$B$5:$B$104,S54))</x:f>
      </x:c>
      <x:c r="V54" s="38" t="str">
        <x:f>IF(R54="","",COUNTIF($U$13:$U$112,"&gt;"&amp;U54)*100000+COUNTIFS($U$13:$U$112,U54,$R$13:$R$112,"&lt;="&amp;R54)*100+COUNTIFS($U$13:$U$112,U54,$R$13:$R$112,R54,$T$13:$T$112,"&lt;="&amp;T54))</x:f>
      </x:c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 t="str">
        <x:f>IF(OR('Goal Scorers'!C47="",'Goal Scorers'!C47="Walkover",'Goal Scorers'!E47&lt;=0,COUNTIFS('Goal Scorers'!$C$5:C47,'Goal Scorers'!C47,'Goal Scorers'!$B$5:B47,'Goal Scorers'!B47)&gt;1),"",'Goal Scorers'!C47)</x:f>
      </x:c>
      <x:c r="S55" s="38" t="str">
        <x:f>IF(R55="","",'Goal Scorers'!B47)</x:f>
      </x:c>
      <x:c r="T55" s="38" t="str">
        <x:f>IF(R55="","",XLOOKUP(S55,Teams!$A$5:$A$36,Teams!$C$5:$C$36,""))</x:f>
      </x:c>
      <x:c r="U55" s="38" t="str">
        <x:f>IF(R55="","",SUMIFS('Goal Scorers'!$E$5:$E$104,'Goal Scorers'!$C$5:$C$104,R55,'Goal Scorers'!$B$5:$B$104,S55))</x:f>
      </x:c>
      <x:c r="V55" s="38" t="str">
        <x:f>IF(R55="","",COUNTIF($U$13:$U$112,"&gt;"&amp;U55)*100000+COUNTIFS($U$13:$U$112,U55,$R$13:$R$112,"&lt;="&amp;R55)*100+COUNTIFS($U$13:$U$112,U55,$R$13:$R$112,R55,$T$13:$T$112,"&lt;="&amp;T55))</x:f>
      </x:c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 t="str">
        <x:f>IF(OR('Goal Scorers'!C48="",'Goal Scorers'!C48="Walkover",'Goal Scorers'!E48&lt;=0,COUNTIFS('Goal Scorers'!$C$5:C48,'Goal Scorers'!C48,'Goal Scorers'!$B$5:B48,'Goal Scorers'!B48)&gt;1),"",'Goal Scorers'!C48)</x:f>
      </x:c>
      <x:c r="S56" s="38" t="str">
        <x:f>IF(R56="","",'Goal Scorers'!B48)</x:f>
      </x:c>
      <x:c r="T56" s="38" t="str">
        <x:f>IF(R56="","",XLOOKUP(S56,Teams!$A$5:$A$36,Teams!$C$5:$C$36,""))</x:f>
      </x:c>
      <x:c r="U56" s="38" t="str">
        <x:f>IF(R56="","",SUMIFS('Goal Scorers'!$E$5:$E$104,'Goal Scorers'!$C$5:$C$104,R56,'Goal Scorers'!$B$5:$B$104,S56))</x:f>
      </x:c>
      <x:c r="V56" s="38" t="str">
        <x:f>IF(R56="","",COUNTIF($U$13:$U$112,"&gt;"&amp;U56)*100000+COUNTIFS($U$13:$U$112,U56,$R$13:$R$112,"&lt;="&amp;R56)*100+COUNTIFS($U$13:$U$112,U56,$R$13:$R$112,R56,$T$13:$T$112,"&lt;="&amp;T56))</x:f>
      </x:c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 t="str">
        <x:f>IF(OR('Goal Scorers'!C49="",'Goal Scorers'!C49="Walkover",'Goal Scorers'!E49&lt;=0,COUNTIFS('Goal Scorers'!$C$5:C49,'Goal Scorers'!C49,'Goal Scorers'!$B$5:B49,'Goal Scorers'!B49)&gt;1),"",'Goal Scorers'!C49)</x:f>
      </x:c>
      <x:c r="S57" s="38" t="str">
        <x:f>IF(R57="","",'Goal Scorers'!B49)</x:f>
      </x:c>
      <x:c r="T57" s="38" t="str">
        <x:f>IF(R57="","",XLOOKUP(S57,Teams!$A$5:$A$36,Teams!$C$5:$C$36,""))</x:f>
      </x:c>
      <x:c r="U57" s="38" t="str">
        <x:f>IF(R57="","",SUMIFS('Goal Scorers'!$E$5:$E$104,'Goal Scorers'!$C$5:$C$104,R57,'Goal Scorers'!$B$5:$B$104,S57))</x:f>
      </x:c>
      <x:c r="V57" s="38" t="str">
        <x:f>IF(R57="","",COUNTIF($U$13:$U$112,"&gt;"&amp;U57)*100000+COUNTIFS($U$13:$U$112,U57,$R$13:$R$112,"&lt;="&amp;R57)*100+COUNTIFS($U$13:$U$112,U57,$R$13:$R$112,R57,$T$13:$T$112,"&lt;="&amp;T57))</x:f>
      </x:c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 t="str">
        <x:f>IF(OR('Goal Scorers'!C50="",'Goal Scorers'!C50="Walkover",'Goal Scorers'!E50&lt;=0,COUNTIFS('Goal Scorers'!$C$5:C50,'Goal Scorers'!C50,'Goal Scorers'!$B$5:B50,'Goal Scorers'!B50)&gt;1),"",'Goal Scorers'!C50)</x:f>
      </x:c>
      <x:c r="S58" s="38" t="str">
        <x:f>IF(R58="","",'Goal Scorers'!B50)</x:f>
      </x:c>
      <x:c r="T58" s="38" t="str">
        <x:f>IF(R58="","",XLOOKUP(S58,Teams!$A$5:$A$36,Teams!$C$5:$C$36,""))</x:f>
      </x:c>
      <x:c r="U58" s="38" t="str">
        <x:f>IF(R58="","",SUMIFS('Goal Scorers'!$E$5:$E$104,'Goal Scorers'!$C$5:$C$104,R58,'Goal Scorers'!$B$5:$B$104,S58))</x:f>
      </x:c>
      <x:c r="V58" s="38" t="str">
        <x:f>IF(R58="","",COUNTIF($U$13:$U$112,"&gt;"&amp;U58)*100000+COUNTIFS($U$13:$U$112,U58,$R$13:$R$112,"&lt;="&amp;R58)*100+COUNTIFS($U$13:$U$112,U58,$R$13:$R$112,R58,$T$13:$T$112,"&lt;="&amp;T58))</x:f>
      </x:c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 t="str">
        <x:f>IF(OR('Goal Scorers'!C51="",'Goal Scorers'!C51="Walkover",'Goal Scorers'!E51&lt;=0,COUNTIFS('Goal Scorers'!$C$5:C51,'Goal Scorers'!C51,'Goal Scorers'!$B$5:B51,'Goal Scorers'!B51)&gt;1),"",'Goal Scorers'!C51)</x:f>
      </x:c>
      <x:c r="S59" s="38" t="str">
        <x:f>IF(R59="","",'Goal Scorers'!B51)</x:f>
      </x:c>
      <x:c r="T59" s="38" t="str">
        <x:f>IF(R59="","",XLOOKUP(S59,Teams!$A$5:$A$36,Teams!$C$5:$C$36,""))</x:f>
      </x:c>
      <x:c r="U59" s="38" t="str">
        <x:f>IF(R59="","",SUMIFS('Goal Scorers'!$E$5:$E$104,'Goal Scorers'!$C$5:$C$104,R59,'Goal Scorers'!$B$5:$B$104,S59))</x:f>
      </x:c>
      <x:c r="V59" s="38" t="str">
        <x:f>IF(R59="","",COUNTIF($U$13:$U$112,"&gt;"&amp;U59)*100000+COUNTIFS($U$13:$U$112,U59,$R$13:$R$112,"&lt;="&amp;R59)*100+COUNTIFS($U$13:$U$112,U59,$R$13:$R$112,R59,$T$13:$T$112,"&lt;="&amp;T59))</x:f>
      </x:c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 t="str">
        <x:f>IF(OR('Goal Scorers'!C52="",'Goal Scorers'!C52="Walkover",'Goal Scorers'!E52&lt;=0,COUNTIFS('Goal Scorers'!$C$5:C52,'Goal Scorers'!C52,'Goal Scorers'!$B$5:B52,'Goal Scorers'!B52)&gt;1),"",'Goal Scorers'!C52)</x:f>
      </x:c>
      <x:c r="S60" s="38" t="str">
        <x:f>IF(R60="","",'Goal Scorers'!B52)</x:f>
      </x:c>
      <x:c r="T60" s="38" t="str">
        <x:f>IF(R60="","",XLOOKUP(S60,Teams!$A$5:$A$36,Teams!$C$5:$C$36,""))</x:f>
      </x:c>
      <x:c r="U60" s="38" t="str">
        <x:f>IF(R60="","",SUMIFS('Goal Scorers'!$E$5:$E$104,'Goal Scorers'!$C$5:$C$104,R60,'Goal Scorers'!$B$5:$B$104,S60))</x:f>
      </x:c>
      <x:c r="V60" s="38" t="str">
        <x:f>IF(R60="","",COUNTIF($U$13:$U$112,"&gt;"&amp;U60)*100000+COUNTIFS($U$13:$U$112,U60,$R$13:$R$112,"&lt;="&amp;R60)*100+COUNTIFS($U$13:$U$112,U60,$R$13:$R$112,R60,$T$13:$T$112,"&lt;="&amp;T60))</x:f>
      </x:c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 t="str">
        <x:f>IF(OR('Goal Scorers'!C53="",'Goal Scorers'!C53="Walkover",'Goal Scorers'!E53&lt;=0,COUNTIFS('Goal Scorers'!$C$5:C53,'Goal Scorers'!C53,'Goal Scorers'!$B$5:B53,'Goal Scorers'!B53)&gt;1),"",'Goal Scorers'!C53)</x:f>
      </x:c>
      <x:c r="S61" s="38" t="str">
        <x:f>IF(R61="","",'Goal Scorers'!B53)</x:f>
      </x:c>
      <x:c r="T61" s="38" t="str">
        <x:f>IF(R61="","",XLOOKUP(S61,Teams!$A$5:$A$36,Teams!$C$5:$C$36,""))</x:f>
      </x:c>
      <x:c r="U61" s="38" t="str">
        <x:f>IF(R61="","",SUMIFS('Goal Scorers'!$E$5:$E$104,'Goal Scorers'!$C$5:$C$104,R61,'Goal Scorers'!$B$5:$B$104,S61))</x:f>
      </x:c>
      <x:c r="V61" s="38" t="str">
        <x:f>IF(R61="","",COUNTIF($U$13:$U$112,"&gt;"&amp;U61)*100000+COUNTIFS($U$13:$U$112,U61,$R$13:$R$112,"&lt;="&amp;R61)*100+COUNTIFS($U$13:$U$112,U61,$R$13:$R$112,R61,$T$13:$T$112,"&lt;="&amp;T61))</x:f>
      </x:c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 t="str">
        <x:f>IF(OR('Goal Scorers'!C54="",'Goal Scorers'!C54="Walkover",'Goal Scorers'!E54&lt;=0,COUNTIFS('Goal Scorers'!$C$5:C54,'Goal Scorers'!C54,'Goal Scorers'!$B$5:B54,'Goal Scorers'!B54)&gt;1),"",'Goal Scorers'!C54)</x:f>
      </x:c>
      <x:c r="S62" s="38" t="str">
        <x:f>IF(R62="","",'Goal Scorers'!B54)</x:f>
      </x:c>
      <x:c r="T62" s="38" t="str">
        <x:f>IF(R62="","",XLOOKUP(S62,Teams!$A$5:$A$36,Teams!$C$5:$C$36,""))</x:f>
      </x:c>
      <x:c r="U62" s="38" t="str">
        <x:f>IF(R62="","",SUMIFS('Goal Scorers'!$E$5:$E$104,'Goal Scorers'!$C$5:$C$104,R62,'Goal Scorers'!$B$5:$B$104,S62))</x:f>
      </x:c>
      <x:c r="V62" s="38" t="str">
        <x:f>IF(R62="","",COUNTIF($U$13:$U$112,"&gt;"&amp;U62)*100000+COUNTIFS($U$13:$U$112,U62,$R$13:$R$112,"&lt;="&amp;R62)*100+COUNTIFS($U$13:$U$112,U62,$R$13:$R$112,R62,$T$13:$T$112,"&lt;="&amp;T62))</x:f>
      </x:c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 t="str">
        <x:f>IF(OR('Goal Scorers'!C55="",'Goal Scorers'!C55="Walkover",'Goal Scorers'!E55&lt;=0,COUNTIFS('Goal Scorers'!$C$5:C55,'Goal Scorers'!C55,'Goal Scorers'!$B$5:B55,'Goal Scorers'!B55)&gt;1),"",'Goal Scorers'!C55)</x:f>
      </x:c>
      <x:c r="S63" s="38" t="str">
        <x:f>IF(R63="","",'Goal Scorers'!B55)</x:f>
      </x:c>
      <x:c r="T63" s="38" t="str">
        <x:f>IF(R63="","",XLOOKUP(S63,Teams!$A$5:$A$36,Teams!$C$5:$C$36,""))</x:f>
      </x:c>
      <x:c r="U63" s="38" t="str">
        <x:f>IF(R63="","",SUMIFS('Goal Scorers'!$E$5:$E$104,'Goal Scorers'!$C$5:$C$104,R63,'Goal Scorers'!$B$5:$B$104,S63))</x:f>
      </x:c>
      <x:c r="V63" s="38" t="str">
        <x:f>IF(R63="","",COUNTIF($U$13:$U$112,"&gt;"&amp;U63)*100000+COUNTIFS($U$13:$U$112,U63,$R$13:$R$112,"&lt;="&amp;R63)*100+COUNTIFS($U$13:$U$112,U63,$R$13:$R$112,R63,$T$13:$T$112,"&lt;="&amp;T63))</x:f>
      </x:c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 t="str">
        <x:f>IF(OR('Goal Scorers'!C56="",'Goal Scorers'!C56="Walkover",'Goal Scorers'!E56&lt;=0,COUNTIFS('Goal Scorers'!$C$5:C56,'Goal Scorers'!C56,'Goal Scorers'!$B$5:B56,'Goal Scorers'!B56)&gt;1),"",'Goal Scorers'!C56)</x:f>
      </x:c>
      <x:c r="S64" s="38" t="str">
        <x:f>IF(R64="","",'Goal Scorers'!B56)</x:f>
      </x:c>
      <x:c r="T64" s="38" t="str">
        <x:f>IF(R64="","",XLOOKUP(S64,Teams!$A$5:$A$36,Teams!$C$5:$C$36,""))</x:f>
      </x:c>
      <x:c r="U64" s="38" t="str">
        <x:f>IF(R64="","",SUMIFS('Goal Scorers'!$E$5:$E$104,'Goal Scorers'!$C$5:$C$104,R64,'Goal Scorers'!$B$5:$B$104,S64))</x:f>
      </x:c>
      <x:c r="V64" s="38" t="str">
        <x:f>IF(R64="","",COUNTIF($U$13:$U$112,"&gt;"&amp;U64)*100000+COUNTIFS($U$13:$U$112,U64,$R$13:$R$112,"&lt;="&amp;R64)*100+COUNTIFS($U$13:$U$112,U64,$R$13:$R$112,R64,$T$13:$T$112,"&lt;="&amp;T64))</x:f>
      </x:c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 t="str">
        <x:f>IF(OR('Goal Scorers'!C57="",'Goal Scorers'!C57="Walkover",'Goal Scorers'!E57&lt;=0,COUNTIFS('Goal Scorers'!$C$5:C57,'Goal Scorers'!C57,'Goal Scorers'!$B$5:B57,'Goal Scorers'!B57)&gt;1),"",'Goal Scorers'!C57)</x:f>
      </x:c>
      <x:c r="S65" s="38" t="str">
        <x:f>IF(R65="","",'Goal Scorers'!B57)</x:f>
      </x:c>
      <x:c r="T65" s="38" t="str">
        <x:f>IF(R65="","",XLOOKUP(S65,Teams!$A$5:$A$36,Teams!$C$5:$C$36,""))</x:f>
      </x:c>
      <x:c r="U65" s="38" t="str">
        <x:f>IF(R65="","",SUMIFS('Goal Scorers'!$E$5:$E$104,'Goal Scorers'!$C$5:$C$104,R65,'Goal Scorers'!$B$5:$B$104,S65))</x:f>
      </x:c>
      <x:c r="V65" s="38" t="str">
        <x:f>IF(R65="","",COUNTIF($U$13:$U$112,"&gt;"&amp;U65)*100000+COUNTIFS($U$13:$U$112,U65,$R$13:$R$112,"&lt;="&amp;R65)*100+COUNTIFS($U$13:$U$112,U65,$R$13:$R$112,R65,$T$13:$T$112,"&lt;="&amp;T65))</x:f>
      </x:c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 t="str">
        <x:f>IF(OR('Goal Scorers'!C58="",'Goal Scorers'!C58="Walkover",'Goal Scorers'!E58&lt;=0,COUNTIFS('Goal Scorers'!$C$5:C58,'Goal Scorers'!C58,'Goal Scorers'!$B$5:B58,'Goal Scorers'!B58)&gt;1),"",'Goal Scorers'!C58)</x:f>
      </x:c>
      <x:c r="S66" s="38" t="str">
        <x:f>IF(R66="","",'Goal Scorers'!B58)</x:f>
      </x:c>
      <x:c r="T66" s="38" t="str">
        <x:f>IF(R66="","",XLOOKUP(S66,Teams!$A$5:$A$36,Teams!$C$5:$C$36,""))</x:f>
      </x:c>
      <x:c r="U66" s="38" t="str">
        <x:f>IF(R66="","",SUMIFS('Goal Scorers'!$E$5:$E$104,'Goal Scorers'!$C$5:$C$104,R66,'Goal Scorers'!$B$5:$B$104,S66))</x:f>
      </x:c>
      <x:c r="V66" s="38" t="str">
        <x:f>IF(R66="","",COUNTIF($U$13:$U$112,"&gt;"&amp;U66)*100000+COUNTIFS($U$13:$U$112,U66,$R$13:$R$112,"&lt;="&amp;R66)*100+COUNTIFS($U$13:$U$112,U66,$R$13:$R$112,R66,$T$13:$T$112,"&lt;="&amp;T66))</x:f>
      </x:c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 t="str">
        <x:f>IF(OR('Goal Scorers'!C59="",'Goal Scorers'!C59="Walkover",'Goal Scorers'!E59&lt;=0,COUNTIFS('Goal Scorers'!$C$5:C59,'Goal Scorers'!C59,'Goal Scorers'!$B$5:B59,'Goal Scorers'!B59)&gt;1),"",'Goal Scorers'!C59)</x:f>
      </x:c>
      <x:c r="S67" s="38" t="str">
        <x:f>IF(R67="","",'Goal Scorers'!B59)</x:f>
      </x:c>
      <x:c r="T67" s="38" t="str">
        <x:f>IF(R67="","",XLOOKUP(S67,Teams!$A$5:$A$36,Teams!$C$5:$C$36,""))</x:f>
      </x:c>
      <x:c r="U67" s="38" t="str">
        <x:f>IF(R67="","",SUMIFS('Goal Scorers'!$E$5:$E$104,'Goal Scorers'!$C$5:$C$104,R67,'Goal Scorers'!$B$5:$B$104,S67))</x:f>
      </x:c>
      <x:c r="V67" s="38" t="str">
        <x:f>IF(R67="","",COUNTIF($U$13:$U$112,"&gt;"&amp;U67)*100000+COUNTIFS($U$13:$U$112,U67,$R$13:$R$112,"&lt;="&amp;R67)*100+COUNTIFS($U$13:$U$112,U67,$R$13:$R$112,R67,$T$13:$T$112,"&lt;="&amp;T67))</x:f>
      </x:c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 t="str">
        <x:f>IF(OR('Goal Scorers'!C60="",'Goal Scorers'!C60="Walkover",'Goal Scorers'!E60&lt;=0,COUNTIFS('Goal Scorers'!$C$5:C60,'Goal Scorers'!C60,'Goal Scorers'!$B$5:B60,'Goal Scorers'!B60)&gt;1),"",'Goal Scorers'!C60)</x:f>
      </x:c>
      <x:c r="S68" s="38" t="str">
        <x:f>IF(R68="","",'Goal Scorers'!B60)</x:f>
      </x:c>
      <x:c r="T68" s="38" t="str">
        <x:f>IF(R68="","",XLOOKUP(S68,Teams!$A$5:$A$36,Teams!$C$5:$C$36,""))</x:f>
      </x:c>
      <x:c r="U68" s="38" t="str">
        <x:f>IF(R68="","",SUMIFS('Goal Scorers'!$E$5:$E$104,'Goal Scorers'!$C$5:$C$104,R68,'Goal Scorers'!$B$5:$B$104,S68))</x:f>
      </x:c>
      <x:c r="V68" s="38" t="str">
        <x:f>IF(R68="","",COUNTIF($U$13:$U$112,"&gt;"&amp;U68)*100000+COUNTIFS($U$13:$U$112,U68,$R$13:$R$112,"&lt;="&amp;R68)*100+COUNTIFS($U$13:$U$112,U68,$R$13:$R$112,R68,$T$13:$T$112,"&lt;="&amp;T68))</x:f>
      </x:c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 t="str">
        <x:f>IF(OR('Goal Scorers'!C61="",'Goal Scorers'!C61="Walkover",'Goal Scorers'!E61&lt;=0,COUNTIFS('Goal Scorers'!$C$5:C61,'Goal Scorers'!C61,'Goal Scorers'!$B$5:B61,'Goal Scorers'!B61)&gt;1),"",'Goal Scorers'!C61)</x:f>
      </x:c>
      <x:c r="S69" s="38" t="str">
        <x:f>IF(R69="","",'Goal Scorers'!B61)</x:f>
      </x:c>
      <x:c r="T69" s="38" t="str">
        <x:f>IF(R69="","",XLOOKUP(S69,Teams!$A$5:$A$36,Teams!$C$5:$C$36,""))</x:f>
      </x:c>
      <x:c r="U69" s="38" t="str">
        <x:f>IF(R69="","",SUMIFS('Goal Scorers'!$E$5:$E$104,'Goal Scorers'!$C$5:$C$104,R69,'Goal Scorers'!$B$5:$B$104,S69))</x:f>
      </x:c>
      <x:c r="V69" s="38" t="str">
        <x:f>IF(R69="","",COUNTIF($U$13:$U$112,"&gt;"&amp;U69)*100000+COUNTIFS($U$13:$U$112,U69,$R$13:$R$112,"&lt;="&amp;R69)*100+COUNTIFS($U$13:$U$112,U69,$R$13:$R$112,R69,$T$13:$T$112,"&lt;="&amp;T69))</x:f>
      </x:c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 t="str">
        <x:f>IF(OR('Goal Scorers'!C62="",'Goal Scorers'!C62="Walkover",'Goal Scorers'!E62&lt;=0,COUNTIFS('Goal Scorers'!$C$5:C62,'Goal Scorers'!C62,'Goal Scorers'!$B$5:B62,'Goal Scorers'!B62)&gt;1),"",'Goal Scorers'!C62)</x:f>
      </x:c>
      <x:c r="S70" s="38" t="str">
        <x:f>IF(R70="","",'Goal Scorers'!B62)</x:f>
      </x:c>
      <x:c r="T70" s="38" t="str">
        <x:f>IF(R70="","",XLOOKUP(S70,Teams!$A$5:$A$36,Teams!$C$5:$C$36,""))</x:f>
      </x:c>
      <x:c r="U70" s="38" t="str">
        <x:f>IF(R70="","",SUMIFS('Goal Scorers'!$E$5:$E$104,'Goal Scorers'!$C$5:$C$104,R70,'Goal Scorers'!$B$5:$B$104,S70))</x:f>
      </x:c>
      <x:c r="V70" s="38" t="str">
        <x:f>IF(R70="","",COUNTIF($U$13:$U$112,"&gt;"&amp;U70)*100000+COUNTIFS($U$13:$U$112,U70,$R$13:$R$112,"&lt;="&amp;R70)*100+COUNTIFS($U$13:$U$112,U70,$R$13:$R$112,R70,$T$13:$T$112,"&lt;="&amp;T70))</x:f>
      </x:c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 t="str">
        <x:f>IF(OR('Goal Scorers'!C63="",'Goal Scorers'!C63="Walkover",'Goal Scorers'!E63&lt;=0,COUNTIFS('Goal Scorers'!$C$5:C63,'Goal Scorers'!C63,'Goal Scorers'!$B$5:B63,'Goal Scorers'!B63)&gt;1),"",'Goal Scorers'!C63)</x:f>
      </x:c>
      <x:c r="S71" s="38" t="str">
        <x:f>IF(R71="","",'Goal Scorers'!B63)</x:f>
      </x:c>
      <x:c r="T71" s="38" t="str">
        <x:f>IF(R71="","",XLOOKUP(S71,Teams!$A$5:$A$36,Teams!$C$5:$C$36,""))</x:f>
      </x:c>
      <x:c r="U71" s="38" t="str">
        <x:f>IF(R71="","",SUMIFS('Goal Scorers'!$E$5:$E$104,'Goal Scorers'!$C$5:$C$104,R71,'Goal Scorers'!$B$5:$B$104,S71))</x:f>
      </x:c>
      <x:c r="V71" s="38" t="str">
        <x:f>IF(R71="","",COUNTIF($U$13:$U$112,"&gt;"&amp;U71)*100000+COUNTIFS($U$13:$U$112,U71,$R$13:$R$112,"&lt;="&amp;R71)*100+COUNTIFS($U$13:$U$112,U71,$R$13:$R$112,R71,$T$13:$T$112,"&lt;="&amp;T71))</x:f>
      </x:c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 t="str">
        <x:f>IF(OR('Goal Scorers'!C64="",'Goal Scorers'!C64="Walkover",'Goal Scorers'!E64&lt;=0,COUNTIFS('Goal Scorers'!$C$5:C64,'Goal Scorers'!C64,'Goal Scorers'!$B$5:B64,'Goal Scorers'!B64)&gt;1),"",'Goal Scorers'!C64)</x:f>
      </x:c>
      <x:c r="S72" s="38" t="str">
        <x:f>IF(R72="","",'Goal Scorers'!B64)</x:f>
      </x:c>
      <x:c r="T72" s="38" t="str">
        <x:f>IF(R72="","",XLOOKUP(S72,Teams!$A$5:$A$36,Teams!$C$5:$C$36,""))</x:f>
      </x:c>
      <x:c r="U72" s="38" t="str">
        <x:f>IF(R72="","",SUMIFS('Goal Scorers'!$E$5:$E$104,'Goal Scorers'!$C$5:$C$104,R72,'Goal Scorers'!$B$5:$B$104,S72))</x:f>
      </x:c>
      <x:c r="V72" s="38" t="str">
        <x:f>IF(R72="","",COUNTIF($U$13:$U$112,"&gt;"&amp;U72)*100000+COUNTIFS($U$13:$U$112,U72,$R$13:$R$112,"&lt;="&amp;R72)*100+COUNTIFS($U$13:$U$112,U72,$R$13:$R$112,R72,$T$13:$T$112,"&lt;="&amp;T72))</x:f>
      </x:c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 t="str">
        <x:f>IF(OR('Goal Scorers'!C65="",'Goal Scorers'!C65="Walkover",'Goal Scorers'!E65&lt;=0,COUNTIFS('Goal Scorers'!$C$5:C65,'Goal Scorers'!C65,'Goal Scorers'!$B$5:B65,'Goal Scorers'!B65)&gt;1),"",'Goal Scorers'!C65)</x:f>
      </x:c>
      <x:c r="S73" s="38" t="str">
        <x:f>IF(R73="","",'Goal Scorers'!B65)</x:f>
      </x:c>
      <x:c r="T73" s="38" t="str">
        <x:f>IF(R73="","",XLOOKUP(S73,Teams!$A$5:$A$36,Teams!$C$5:$C$36,""))</x:f>
      </x:c>
      <x:c r="U73" s="38" t="str">
        <x:f>IF(R73="","",SUMIFS('Goal Scorers'!$E$5:$E$104,'Goal Scorers'!$C$5:$C$104,R73,'Goal Scorers'!$B$5:$B$104,S73))</x:f>
      </x:c>
      <x:c r="V73" s="38" t="str">
        <x:f>IF(R73="","",COUNTIF($U$13:$U$112,"&gt;"&amp;U73)*100000+COUNTIFS($U$13:$U$112,U73,$R$13:$R$112,"&lt;="&amp;R73)*100+COUNTIFS($U$13:$U$112,U73,$R$13:$R$112,R73,$T$13:$T$112,"&lt;="&amp;T73))</x:f>
      </x:c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 t="str">
        <x:f>IF(OR('Goal Scorers'!C66="",'Goal Scorers'!C66="Walkover",'Goal Scorers'!E66&lt;=0,COUNTIFS('Goal Scorers'!$C$5:C66,'Goal Scorers'!C66,'Goal Scorers'!$B$5:B66,'Goal Scorers'!B66)&gt;1),"",'Goal Scorers'!C66)</x:f>
      </x:c>
      <x:c r="S74" s="38" t="str">
        <x:f>IF(R74="","",'Goal Scorers'!B66)</x:f>
      </x:c>
      <x:c r="T74" s="38" t="str">
        <x:f>IF(R74="","",XLOOKUP(S74,Teams!$A$5:$A$36,Teams!$C$5:$C$36,""))</x:f>
      </x:c>
      <x:c r="U74" s="38" t="str">
        <x:f>IF(R74="","",SUMIFS('Goal Scorers'!$E$5:$E$104,'Goal Scorers'!$C$5:$C$104,R74,'Goal Scorers'!$B$5:$B$104,S74))</x:f>
      </x:c>
      <x:c r="V74" s="38" t="str">
        <x:f>IF(R74="","",COUNTIF($U$13:$U$112,"&gt;"&amp;U74)*100000+COUNTIFS($U$13:$U$112,U74,$R$13:$R$112,"&lt;="&amp;R74)*100+COUNTIFS($U$13:$U$112,U74,$R$13:$R$112,R74,$T$13:$T$112,"&lt;="&amp;T74))</x:f>
      </x:c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 t="str">
        <x:f>IF(OR('Goal Scorers'!C67="",'Goal Scorers'!C67="Walkover",'Goal Scorers'!E67&lt;=0,COUNTIFS('Goal Scorers'!$C$5:C67,'Goal Scorers'!C67,'Goal Scorers'!$B$5:B67,'Goal Scorers'!B67)&gt;1),"",'Goal Scorers'!C67)</x:f>
      </x:c>
      <x:c r="S75" s="38" t="str">
        <x:f>IF(R75="","",'Goal Scorers'!B67)</x:f>
      </x:c>
      <x:c r="T75" s="38" t="str">
        <x:f>IF(R75="","",XLOOKUP(S75,Teams!$A$5:$A$36,Teams!$C$5:$C$36,""))</x:f>
      </x:c>
      <x:c r="U75" s="38" t="str">
        <x:f>IF(R75="","",SUMIFS('Goal Scorers'!$E$5:$E$104,'Goal Scorers'!$C$5:$C$104,R75,'Goal Scorers'!$B$5:$B$104,S75))</x:f>
      </x:c>
      <x:c r="V75" s="38" t="str">
        <x:f>IF(R75="","",COUNTIF($U$13:$U$112,"&gt;"&amp;U75)*100000+COUNTIFS($U$13:$U$112,U75,$R$13:$R$112,"&lt;="&amp;R75)*100+COUNTIFS($U$13:$U$112,U75,$R$13:$R$112,R75,$T$13:$T$112,"&lt;="&amp;T75))</x:f>
      </x:c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 t="str">
        <x:f>IF(OR('Goal Scorers'!C68="",'Goal Scorers'!C68="Walkover",'Goal Scorers'!E68&lt;=0,COUNTIFS('Goal Scorers'!$C$5:C68,'Goal Scorers'!C68,'Goal Scorers'!$B$5:B68,'Goal Scorers'!B68)&gt;1),"",'Goal Scorers'!C68)</x:f>
      </x:c>
      <x:c r="S76" s="38" t="str">
        <x:f>IF(R76="","",'Goal Scorers'!B68)</x:f>
      </x:c>
      <x:c r="T76" s="38" t="str">
        <x:f>IF(R76="","",XLOOKUP(S76,Teams!$A$5:$A$36,Teams!$C$5:$C$36,""))</x:f>
      </x:c>
      <x:c r="U76" s="38" t="str">
        <x:f>IF(R76="","",SUMIFS('Goal Scorers'!$E$5:$E$104,'Goal Scorers'!$C$5:$C$104,R76,'Goal Scorers'!$B$5:$B$104,S76))</x:f>
      </x:c>
      <x:c r="V76" s="38" t="str">
        <x:f>IF(R76="","",COUNTIF($U$13:$U$112,"&gt;"&amp;U76)*100000+COUNTIFS($U$13:$U$112,U76,$R$13:$R$112,"&lt;="&amp;R76)*100+COUNTIFS($U$13:$U$112,U76,$R$13:$R$112,R76,$T$13:$T$112,"&lt;="&amp;T76))</x:f>
      </x:c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 t="str">
        <x:f>IF(OR('Goal Scorers'!C69="",'Goal Scorers'!C69="Walkover",'Goal Scorers'!E69&lt;=0,COUNTIFS('Goal Scorers'!$C$5:C69,'Goal Scorers'!C69,'Goal Scorers'!$B$5:B69,'Goal Scorers'!B69)&gt;1),"",'Goal Scorers'!C69)</x:f>
      </x:c>
      <x:c r="S77" s="38" t="str">
        <x:f>IF(R77="","",'Goal Scorers'!B69)</x:f>
      </x:c>
      <x:c r="T77" s="38" t="str">
        <x:f>IF(R77="","",XLOOKUP(S77,Teams!$A$5:$A$36,Teams!$C$5:$C$36,""))</x:f>
      </x:c>
      <x:c r="U77" s="38" t="str">
        <x:f>IF(R77="","",SUMIFS('Goal Scorers'!$E$5:$E$104,'Goal Scorers'!$C$5:$C$104,R77,'Goal Scorers'!$B$5:$B$104,S77))</x:f>
      </x:c>
      <x:c r="V77" s="38" t="str">
        <x:f>IF(R77="","",COUNTIF($U$13:$U$112,"&gt;"&amp;U77)*100000+COUNTIFS($U$13:$U$112,U77,$R$13:$R$112,"&lt;="&amp;R77)*100+COUNTIFS($U$13:$U$112,U77,$R$13:$R$112,R77,$T$13:$T$112,"&lt;="&amp;T77))</x:f>
      </x:c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 t="str">
        <x:f>IF(OR('Goal Scorers'!C70="",'Goal Scorers'!C70="Walkover",'Goal Scorers'!E70&lt;=0,COUNTIFS('Goal Scorers'!$C$5:C70,'Goal Scorers'!C70,'Goal Scorers'!$B$5:B70,'Goal Scorers'!B70)&gt;1),"",'Goal Scorers'!C70)</x:f>
      </x:c>
      <x:c r="S78" s="38" t="str">
        <x:f>IF(R78="","",'Goal Scorers'!B70)</x:f>
      </x:c>
      <x:c r="T78" s="38" t="str">
        <x:f>IF(R78="","",XLOOKUP(S78,Teams!$A$5:$A$36,Teams!$C$5:$C$36,""))</x:f>
      </x:c>
      <x:c r="U78" s="38" t="str">
        <x:f>IF(R78="","",SUMIFS('Goal Scorers'!$E$5:$E$104,'Goal Scorers'!$C$5:$C$104,R78,'Goal Scorers'!$B$5:$B$104,S78))</x:f>
      </x:c>
      <x:c r="V78" s="38" t="str">
        <x:f>IF(R78="","",COUNTIF($U$13:$U$112,"&gt;"&amp;U78)*100000+COUNTIFS($U$13:$U$112,U78,$R$13:$R$112,"&lt;="&amp;R78)*100+COUNTIFS($U$13:$U$112,U78,$R$13:$R$112,R78,$T$13:$T$112,"&lt;="&amp;T78))</x:f>
      </x:c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 t="str">
        <x:f>IF(OR('Goal Scorers'!C71="",'Goal Scorers'!C71="Walkover",'Goal Scorers'!E71&lt;=0,COUNTIFS('Goal Scorers'!$C$5:C71,'Goal Scorers'!C71,'Goal Scorers'!$B$5:B71,'Goal Scorers'!B71)&gt;1),"",'Goal Scorers'!C71)</x:f>
      </x:c>
      <x:c r="S79" s="38" t="str">
        <x:f>IF(R79="","",'Goal Scorers'!B71)</x:f>
      </x:c>
      <x:c r="T79" s="38" t="str">
        <x:f>IF(R79="","",XLOOKUP(S79,Teams!$A$5:$A$36,Teams!$C$5:$C$36,""))</x:f>
      </x:c>
      <x:c r="U79" s="38" t="str">
        <x:f>IF(R79="","",SUMIFS('Goal Scorers'!$E$5:$E$104,'Goal Scorers'!$C$5:$C$104,R79,'Goal Scorers'!$B$5:$B$104,S79))</x:f>
      </x:c>
      <x:c r="V79" s="38" t="str">
        <x:f>IF(R79="","",COUNTIF($U$13:$U$112,"&gt;"&amp;U79)*100000+COUNTIFS($U$13:$U$112,U79,$R$13:$R$112,"&lt;="&amp;R79)*100+COUNTIFS($U$13:$U$112,U79,$R$13:$R$112,R79,$T$13:$T$112,"&lt;="&amp;T79))</x:f>
      </x:c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 t="str">
        <x:f>IF(OR('Goal Scorers'!C72="",'Goal Scorers'!C72="Walkover",'Goal Scorers'!E72&lt;=0,COUNTIFS('Goal Scorers'!$C$5:C72,'Goal Scorers'!C72,'Goal Scorers'!$B$5:B72,'Goal Scorers'!B72)&gt;1),"",'Goal Scorers'!C72)</x:f>
      </x:c>
      <x:c r="S80" s="38" t="str">
        <x:f>IF(R80="","",'Goal Scorers'!B72)</x:f>
      </x:c>
      <x:c r="T80" s="38" t="str">
        <x:f>IF(R80="","",XLOOKUP(S80,Teams!$A$5:$A$36,Teams!$C$5:$C$36,""))</x:f>
      </x:c>
      <x:c r="U80" s="38" t="str">
        <x:f>IF(R80="","",SUMIFS('Goal Scorers'!$E$5:$E$104,'Goal Scorers'!$C$5:$C$104,R80,'Goal Scorers'!$B$5:$B$104,S80))</x:f>
      </x:c>
      <x:c r="V80" s="38" t="str">
        <x:f>IF(R80="","",COUNTIF($U$13:$U$112,"&gt;"&amp;U80)*100000+COUNTIFS($U$13:$U$112,U80,$R$13:$R$112,"&lt;="&amp;R80)*100+COUNTIFS($U$13:$U$112,U80,$R$13:$R$112,R80,$T$13:$T$112,"&lt;="&amp;T80))</x:f>
      </x:c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 t="str">
        <x:f>IF(OR('Goal Scorers'!C73="",'Goal Scorers'!C73="Walkover",'Goal Scorers'!E73&lt;=0,COUNTIFS('Goal Scorers'!$C$5:C73,'Goal Scorers'!C73,'Goal Scorers'!$B$5:B73,'Goal Scorers'!B73)&gt;1),"",'Goal Scorers'!C73)</x:f>
      </x:c>
      <x:c r="S81" s="38" t="str">
        <x:f>IF(R81="","",'Goal Scorers'!B73)</x:f>
      </x:c>
      <x:c r="T81" s="38" t="str">
        <x:f>IF(R81="","",XLOOKUP(S81,Teams!$A$5:$A$36,Teams!$C$5:$C$36,""))</x:f>
      </x:c>
      <x:c r="U81" s="38" t="str">
        <x:f>IF(R81="","",SUMIFS('Goal Scorers'!$E$5:$E$104,'Goal Scorers'!$C$5:$C$104,R81,'Goal Scorers'!$B$5:$B$104,S81))</x:f>
      </x:c>
      <x:c r="V81" s="38" t="str">
        <x:f>IF(R81="","",COUNTIF($U$13:$U$112,"&gt;"&amp;U81)*100000+COUNTIFS($U$13:$U$112,U81,$R$13:$R$112,"&lt;="&amp;R81)*100+COUNTIFS($U$13:$U$112,U81,$R$13:$R$112,R81,$T$13:$T$112,"&lt;="&amp;T81))</x:f>
      </x:c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 t="str">
        <x:f>IF(OR('Goal Scorers'!C74="",'Goal Scorers'!C74="Walkover",'Goal Scorers'!E74&lt;=0,COUNTIFS('Goal Scorers'!$C$5:C74,'Goal Scorers'!C74,'Goal Scorers'!$B$5:B74,'Goal Scorers'!B74)&gt;1),"",'Goal Scorers'!C74)</x:f>
      </x:c>
      <x:c r="S82" s="38" t="str">
        <x:f>IF(R82="","",'Goal Scorers'!B74)</x:f>
      </x:c>
      <x:c r="T82" s="38" t="str">
        <x:f>IF(R82="","",XLOOKUP(S82,Teams!$A$5:$A$36,Teams!$C$5:$C$36,""))</x:f>
      </x:c>
      <x:c r="U82" s="38" t="str">
        <x:f>IF(R82="","",SUMIFS('Goal Scorers'!$E$5:$E$104,'Goal Scorers'!$C$5:$C$104,R82,'Goal Scorers'!$B$5:$B$104,S82))</x:f>
      </x:c>
      <x:c r="V82" s="38" t="str">
        <x:f>IF(R82="","",COUNTIF($U$13:$U$112,"&gt;"&amp;U82)*100000+COUNTIFS($U$13:$U$112,U82,$R$13:$R$112,"&lt;="&amp;R82)*100+COUNTIFS($U$13:$U$112,U82,$R$13:$R$112,R82,$T$13:$T$112,"&lt;="&amp;T82))</x:f>
      </x:c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 t="str">
        <x:f>IF(OR('Goal Scorers'!C75="",'Goal Scorers'!C75="Walkover",'Goal Scorers'!E75&lt;=0,COUNTIFS('Goal Scorers'!$C$5:C75,'Goal Scorers'!C75,'Goal Scorers'!$B$5:B75,'Goal Scorers'!B75)&gt;1),"",'Goal Scorers'!C75)</x:f>
      </x:c>
      <x:c r="S83" s="38" t="str">
        <x:f>IF(R83="","",'Goal Scorers'!B75)</x:f>
      </x:c>
      <x:c r="T83" s="38" t="str">
        <x:f>IF(R83="","",XLOOKUP(S83,Teams!$A$5:$A$36,Teams!$C$5:$C$36,""))</x:f>
      </x:c>
      <x:c r="U83" s="38" t="str">
        <x:f>IF(R83="","",SUMIFS('Goal Scorers'!$E$5:$E$104,'Goal Scorers'!$C$5:$C$104,R83,'Goal Scorers'!$B$5:$B$104,S83))</x:f>
      </x:c>
      <x:c r="V83" s="38" t="str">
        <x:f>IF(R83="","",COUNTIF($U$13:$U$112,"&gt;"&amp;U83)*100000+COUNTIFS($U$13:$U$112,U83,$R$13:$R$112,"&lt;="&amp;R83)*100+COUNTIFS($U$13:$U$112,U83,$R$13:$R$112,R83,$T$13:$T$112,"&lt;="&amp;T83))</x:f>
      </x:c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 t="str">
        <x:f>IF(OR('Goal Scorers'!C76="",'Goal Scorers'!C76="Walkover",'Goal Scorers'!E76&lt;=0,COUNTIFS('Goal Scorers'!$C$5:C76,'Goal Scorers'!C76,'Goal Scorers'!$B$5:B76,'Goal Scorers'!B76)&gt;1),"",'Goal Scorers'!C76)</x:f>
      </x:c>
      <x:c r="S84" s="38" t="str">
        <x:f>IF(R84="","",'Goal Scorers'!B76)</x:f>
      </x:c>
      <x:c r="T84" s="38" t="str">
        <x:f>IF(R84="","",XLOOKUP(S84,Teams!$A$5:$A$36,Teams!$C$5:$C$36,""))</x:f>
      </x:c>
      <x:c r="U84" s="38" t="str">
        <x:f>IF(R84="","",SUMIFS('Goal Scorers'!$E$5:$E$104,'Goal Scorers'!$C$5:$C$104,R84,'Goal Scorers'!$B$5:$B$104,S84))</x:f>
      </x:c>
      <x:c r="V84" s="38" t="str">
        <x:f>IF(R84="","",COUNTIF($U$13:$U$112,"&gt;"&amp;U84)*100000+COUNTIFS($U$13:$U$112,U84,$R$13:$R$112,"&lt;="&amp;R84)*100+COUNTIFS($U$13:$U$112,U84,$R$13:$R$112,R84,$T$13:$T$112,"&lt;="&amp;T84))</x:f>
      </x:c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 t="str">
        <x:f>IF(OR('Goal Scorers'!C77="",'Goal Scorers'!C77="Walkover",'Goal Scorers'!E77&lt;=0,COUNTIFS('Goal Scorers'!$C$5:C77,'Goal Scorers'!C77,'Goal Scorers'!$B$5:B77,'Goal Scorers'!B77)&gt;1),"",'Goal Scorers'!C77)</x:f>
      </x:c>
      <x:c r="S85" s="38" t="str">
        <x:f>IF(R85="","",'Goal Scorers'!B77)</x:f>
      </x:c>
      <x:c r="T85" s="38" t="str">
        <x:f>IF(R85="","",XLOOKUP(S85,Teams!$A$5:$A$36,Teams!$C$5:$C$36,""))</x:f>
      </x:c>
      <x:c r="U85" s="38" t="str">
        <x:f>IF(R85="","",SUMIFS('Goal Scorers'!$E$5:$E$104,'Goal Scorers'!$C$5:$C$104,R85,'Goal Scorers'!$B$5:$B$104,S85))</x:f>
      </x:c>
      <x:c r="V85" s="38" t="str">
        <x:f>IF(R85="","",COUNTIF($U$13:$U$112,"&gt;"&amp;U85)*100000+COUNTIFS($U$13:$U$112,U85,$R$13:$R$112,"&lt;="&amp;R85)*100+COUNTIFS($U$13:$U$112,U85,$R$13:$R$112,R85,$T$13:$T$112,"&lt;="&amp;T85))</x:f>
      </x:c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 t="str">
        <x:f>IF(OR('Goal Scorers'!C78="",'Goal Scorers'!C78="Walkover",'Goal Scorers'!E78&lt;=0,COUNTIFS('Goal Scorers'!$C$5:C78,'Goal Scorers'!C78,'Goal Scorers'!$B$5:B78,'Goal Scorers'!B78)&gt;1),"",'Goal Scorers'!C78)</x:f>
      </x:c>
      <x:c r="S86" s="38" t="str">
        <x:f>IF(R86="","",'Goal Scorers'!B78)</x:f>
      </x:c>
      <x:c r="T86" s="38" t="str">
        <x:f>IF(R86="","",XLOOKUP(S86,Teams!$A$5:$A$36,Teams!$C$5:$C$36,""))</x:f>
      </x:c>
      <x:c r="U86" s="38" t="str">
        <x:f>IF(R86="","",SUMIFS('Goal Scorers'!$E$5:$E$104,'Goal Scorers'!$C$5:$C$104,R86,'Goal Scorers'!$B$5:$B$104,S86))</x:f>
      </x:c>
      <x:c r="V86" s="38" t="str">
        <x:f>IF(R86="","",COUNTIF($U$13:$U$112,"&gt;"&amp;U86)*100000+COUNTIFS($U$13:$U$112,U86,$R$13:$R$112,"&lt;="&amp;R86)*100+COUNTIFS($U$13:$U$112,U86,$R$13:$R$112,R86,$T$13:$T$112,"&lt;="&amp;T86))</x:f>
      </x:c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 t="str">
        <x:f>IF(OR('Goal Scorers'!C79="",'Goal Scorers'!C79="Walkover",'Goal Scorers'!E79&lt;=0,COUNTIFS('Goal Scorers'!$C$5:C79,'Goal Scorers'!C79,'Goal Scorers'!$B$5:B79,'Goal Scorers'!B79)&gt;1),"",'Goal Scorers'!C79)</x:f>
      </x:c>
      <x:c r="S87" s="38" t="str">
        <x:f>IF(R87="","",'Goal Scorers'!B79)</x:f>
      </x:c>
      <x:c r="T87" s="38" t="str">
        <x:f>IF(R87="","",XLOOKUP(S87,Teams!$A$5:$A$36,Teams!$C$5:$C$36,""))</x:f>
      </x:c>
      <x:c r="U87" s="38" t="str">
        <x:f>IF(R87="","",SUMIFS('Goal Scorers'!$E$5:$E$104,'Goal Scorers'!$C$5:$C$104,R87,'Goal Scorers'!$B$5:$B$104,S87))</x:f>
      </x:c>
      <x:c r="V87" s="38" t="str">
        <x:f>IF(R87="","",COUNTIF($U$13:$U$112,"&gt;"&amp;U87)*100000+COUNTIFS($U$13:$U$112,U87,$R$13:$R$112,"&lt;="&amp;R87)*100+COUNTIFS($U$13:$U$112,U87,$R$13:$R$112,R87,$T$13:$T$112,"&lt;="&amp;T87))</x:f>
      </x:c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 t="str">
        <x:f>IF(OR('Goal Scorers'!C80="",'Goal Scorers'!C80="Walkover",'Goal Scorers'!E80&lt;=0,COUNTIFS('Goal Scorers'!$C$5:C80,'Goal Scorers'!C80,'Goal Scorers'!$B$5:B80,'Goal Scorers'!B80)&gt;1),"",'Goal Scorers'!C80)</x:f>
      </x:c>
      <x:c r="S88" s="38" t="str">
        <x:f>IF(R88="","",'Goal Scorers'!B80)</x:f>
      </x:c>
      <x:c r="T88" s="38" t="str">
        <x:f>IF(R88="","",XLOOKUP(S88,Teams!$A$5:$A$36,Teams!$C$5:$C$36,""))</x:f>
      </x:c>
      <x:c r="U88" s="38" t="str">
        <x:f>IF(R88="","",SUMIFS('Goal Scorers'!$E$5:$E$104,'Goal Scorers'!$C$5:$C$104,R88,'Goal Scorers'!$B$5:$B$104,S88))</x:f>
      </x:c>
      <x:c r="V88" s="38" t="str">
        <x:f>IF(R88="","",COUNTIF($U$13:$U$112,"&gt;"&amp;U88)*100000+COUNTIFS($U$13:$U$112,U88,$R$13:$R$112,"&lt;="&amp;R88)*100+COUNTIFS($U$13:$U$112,U88,$R$13:$R$112,R88,$T$13:$T$112,"&lt;="&amp;T88))</x:f>
      </x:c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 t="str">
        <x:f>IF(OR('Goal Scorers'!C81="",'Goal Scorers'!C81="Walkover",'Goal Scorers'!E81&lt;=0,COUNTIFS('Goal Scorers'!$C$5:C81,'Goal Scorers'!C81,'Goal Scorers'!$B$5:B81,'Goal Scorers'!B81)&gt;1),"",'Goal Scorers'!C81)</x:f>
      </x:c>
      <x:c r="S89" s="38" t="str">
        <x:f>IF(R89="","",'Goal Scorers'!B81)</x:f>
      </x:c>
      <x:c r="T89" s="38" t="str">
        <x:f>IF(R89="","",XLOOKUP(S89,Teams!$A$5:$A$36,Teams!$C$5:$C$36,""))</x:f>
      </x:c>
      <x:c r="U89" s="38" t="str">
        <x:f>IF(R89="","",SUMIFS('Goal Scorers'!$E$5:$E$104,'Goal Scorers'!$C$5:$C$104,R89,'Goal Scorers'!$B$5:$B$104,S89))</x:f>
      </x:c>
      <x:c r="V89" s="38" t="str">
        <x:f>IF(R89="","",COUNTIF($U$13:$U$112,"&gt;"&amp;U89)*100000+COUNTIFS($U$13:$U$112,U89,$R$13:$R$112,"&lt;="&amp;R89)*100+COUNTIFS($U$13:$U$112,U89,$R$13:$R$112,R89,$T$13:$T$112,"&lt;="&amp;T89))</x:f>
      </x:c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 t="str">
        <x:f>IF(OR('Goal Scorers'!C82="",'Goal Scorers'!C82="Walkover",'Goal Scorers'!E82&lt;=0,COUNTIFS('Goal Scorers'!$C$5:C82,'Goal Scorers'!C82,'Goal Scorers'!$B$5:B82,'Goal Scorers'!B82)&gt;1),"",'Goal Scorers'!C82)</x:f>
      </x:c>
      <x:c r="S90" s="38" t="str">
        <x:f>IF(R90="","",'Goal Scorers'!B82)</x:f>
      </x:c>
      <x:c r="T90" s="38" t="str">
        <x:f>IF(R90="","",XLOOKUP(S90,Teams!$A$5:$A$36,Teams!$C$5:$C$36,""))</x:f>
      </x:c>
      <x:c r="U90" s="38" t="str">
        <x:f>IF(R90="","",SUMIFS('Goal Scorers'!$E$5:$E$104,'Goal Scorers'!$C$5:$C$104,R90,'Goal Scorers'!$B$5:$B$104,S90))</x:f>
      </x:c>
      <x:c r="V90" s="38" t="str">
        <x:f>IF(R90="","",COUNTIF($U$13:$U$112,"&gt;"&amp;U90)*100000+COUNTIFS($U$13:$U$112,U90,$R$13:$R$112,"&lt;="&amp;R90)*100+COUNTIFS($U$13:$U$112,U90,$R$13:$R$112,R90,$T$13:$T$112,"&lt;="&amp;T90))</x:f>
      </x:c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 t="str">
        <x:f>IF(OR('Goal Scorers'!C83="",'Goal Scorers'!C83="Walkover",'Goal Scorers'!E83&lt;=0,COUNTIFS('Goal Scorers'!$C$5:C83,'Goal Scorers'!C83,'Goal Scorers'!$B$5:B83,'Goal Scorers'!B83)&gt;1),"",'Goal Scorers'!C83)</x:f>
      </x:c>
      <x:c r="S91" s="38" t="str">
        <x:f>IF(R91="","",'Goal Scorers'!B83)</x:f>
      </x:c>
      <x:c r="T91" s="38" t="str">
        <x:f>IF(R91="","",XLOOKUP(S91,Teams!$A$5:$A$36,Teams!$C$5:$C$36,""))</x:f>
      </x:c>
      <x:c r="U91" s="38" t="str">
        <x:f>IF(R91="","",SUMIFS('Goal Scorers'!$E$5:$E$104,'Goal Scorers'!$C$5:$C$104,R91,'Goal Scorers'!$B$5:$B$104,S91))</x:f>
      </x:c>
      <x:c r="V91" s="38" t="str">
        <x:f>IF(R91="","",COUNTIF($U$13:$U$112,"&gt;"&amp;U91)*100000+COUNTIFS($U$13:$U$112,U91,$R$13:$R$112,"&lt;="&amp;R91)*100+COUNTIFS($U$13:$U$112,U91,$R$13:$R$112,R91,$T$13:$T$112,"&lt;="&amp;T91))</x:f>
      </x:c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 t="str">
        <x:f>IF(OR('Goal Scorers'!C84="",'Goal Scorers'!C84="Walkover",'Goal Scorers'!E84&lt;=0,COUNTIFS('Goal Scorers'!$C$5:C84,'Goal Scorers'!C84,'Goal Scorers'!$B$5:B84,'Goal Scorers'!B84)&gt;1),"",'Goal Scorers'!C84)</x:f>
      </x:c>
      <x:c r="S92" s="38" t="str">
        <x:f>IF(R92="","",'Goal Scorers'!B84)</x:f>
      </x:c>
      <x:c r="T92" s="38" t="str">
        <x:f>IF(R92="","",XLOOKUP(S92,Teams!$A$5:$A$36,Teams!$C$5:$C$36,""))</x:f>
      </x:c>
      <x:c r="U92" s="38" t="str">
        <x:f>IF(R92="","",SUMIFS('Goal Scorers'!$E$5:$E$104,'Goal Scorers'!$C$5:$C$104,R92,'Goal Scorers'!$B$5:$B$104,S92))</x:f>
      </x:c>
      <x:c r="V92" s="38" t="str">
        <x:f>IF(R92="","",COUNTIF($U$13:$U$112,"&gt;"&amp;U92)*100000+COUNTIFS($U$13:$U$112,U92,$R$13:$R$112,"&lt;="&amp;R92)*100+COUNTIFS($U$13:$U$112,U92,$R$13:$R$112,R92,$T$13:$T$112,"&lt;="&amp;T92))</x:f>
      </x:c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 t="str">
        <x:f>IF(OR('Goal Scorers'!C85="",'Goal Scorers'!C85="Walkover",'Goal Scorers'!E85&lt;=0,COUNTIFS('Goal Scorers'!$C$5:C85,'Goal Scorers'!C85,'Goal Scorers'!$B$5:B85,'Goal Scorers'!B85)&gt;1),"",'Goal Scorers'!C85)</x:f>
      </x:c>
      <x:c r="S93" s="38" t="str">
        <x:f>IF(R93="","",'Goal Scorers'!B85)</x:f>
      </x:c>
      <x:c r="T93" s="38" t="str">
        <x:f>IF(R93="","",XLOOKUP(S93,Teams!$A$5:$A$36,Teams!$C$5:$C$36,""))</x:f>
      </x:c>
      <x:c r="U93" s="38" t="str">
        <x:f>IF(R93="","",SUMIFS('Goal Scorers'!$E$5:$E$104,'Goal Scorers'!$C$5:$C$104,R93,'Goal Scorers'!$B$5:$B$104,S93))</x:f>
      </x:c>
      <x:c r="V93" s="38" t="str">
        <x:f>IF(R93="","",COUNTIF($U$13:$U$112,"&gt;"&amp;U93)*100000+COUNTIFS($U$13:$U$112,U93,$R$13:$R$112,"&lt;="&amp;R93)*100+COUNTIFS($U$13:$U$112,U93,$R$13:$R$112,R93,$T$13:$T$112,"&lt;="&amp;T93))</x:f>
      </x:c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 t="str">
        <x:f>IF(OR('Goal Scorers'!C86="",'Goal Scorers'!C86="Walkover",'Goal Scorers'!E86&lt;=0,COUNTIFS('Goal Scorers'!$C$5:C86,'Goal Scorers'!C86,'Goal Scorers'!$B$5:B86,'Goal Scorers'!B86)&gt;1),"",'Goal Scorers'!C86)</x:f>
      </x:c>
      <x:c r="S94" s="38" t="str">
        <x:f>IF(R94="","",'Goal Scorers'!B86)</x:f>
      </x:c>
      <x:c r="T94" s="38" t="str">
        <x:f>IF(R94="","",XLOOKUP(S94,Teams!$A$5:$A$36,Teams!$C$5:$C$36,""))</x:f>
      </x:c>
      <x:c r="U94" s="38" t="str">
        <x:f>IF(R94="","",SUMIFS('Goal Scorers'!$E$5:$E$104,'Goal Scorers'!$C$5:$C$104,R94,'Goal Scorers'!$B$5:$B$104,S94))</x:f>
      </x:c>
      <x:c r="V94" s="38" t="str">
        <x:f>IF(R94="","",COUNTIF($U$13:$U$112,"&gt;"&amp;U94)*100000+COUNTIFS($U$13:$U$112,U94,$R$13:$R$112,"&lt;="&amp;R94)*100+COUNTIFS($U$13:$U$112,U94,$R$13:$R$112,R94,$T$13:$T$112,"&lt;="&amp;T94))</x:f>
      </x:c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 t="str">
        <x:f>IF(OR('Goal Scorers'!C87="",'Goal Scorers'!C87="Walkover",'Goal Scorers'!E87&lt;=0,COUNTIFS('Goal Scorers'!$C$5:C87,'Goal Scorers'!C87,'Goal Scorers'!$B$5:B87,'Goal Scorers'!B87)&gt;1),"",'Goal Scorers'!C87)</x:f>
      </x:c>
      <x:c r="S95" s="38" t="str">
        <x:f>IF(R95="","",'Goal Scorers'!B87)</x:f>
      </x:c>
      <x:c r="T95" s="38" t="str">
        <x:f>IF(R95="","",XLOOKUP(S95,Teams!$A$5:$A$36,Teams!$C$5:$C$36,""))</x:f>
      </x:c>
      <x:c r="U95" s="38" t="str">
        <x:f>IF(R95="","",SUMIFS('Goal Scorers'!$E$5:$E$104,'Goal Scorers'!$C$5:$C$104,R95,'Goal Scorers'!$B$5:$B$104,S95))</x:f>
      </x:c>
      <x:c r="V95" s="38" t="str">
        <x:f>IF(R95="","",COUNTIF($U$13:$U$112,"&gt;"&amp;U95)*100000+COUNTIFS($U$13:$U$112,U95,$R$13:$R$112,"&lt;="&amp;R95)*100+COUNTIFS($U$13:$U$112,U95,$R$13:$R$112,R95,$T$13:$T$112,"&lt;="&amp;T95))</x:f>
      </x:c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 t="str">
        <x:f>IF(OR('Goal Scorers'!C88="",'Goal Scorers'!C88="Walkover",'Goal Scorers'!E88&lt;=0,COUNTIFS('Goal Scorers'!$C$5:C88,'Goal Scorers'!C88,'Goal Scorers'!$B$5:B88,'Goal Scorers'!B88)&gt;1),"",'Goal Scorers'!C88)</x:f>
      </x:c>
      <x:c r="S96" s="38" t="str">
        <x:f>IF(R96="","",'Goal Scorers'!B88)</x:f>
      </x:c>
      <x:c r="T96" s="38" t="str">
        <x:f>IF(R96="","",XLOOKUP(S96,Teams!$A$5:$A$36,Teams!$C$5:$C$36,""))</x:f>
      </x:c>
      <x:c r="U96" s="38" t="str">
        <x:f>IF(R96="","",SUMIFS('Goal Scorers'!$E$5:$E$104,'Goal Scorers'!$C$5:$C$104,R96,'Goal Scorers'!$B$5:$B$104,S96))</x:f>
      </x:c>
      <x:c r="V96" s="38" t="str">
        <x:f>IF(R96="","",COUNTIF($U$13:$U$112,"&gt;"&amp;U96)*100000+COUNTIFS($U$13:$U$112,U96,$R$13:$R$112,"&lt;="&amp;R96)*100+COUNTIFS($U$13:$U$112,U96,$R$13:$R$112,R96,$T$13:$T$112,"&lt;="&amp;T96))</x:f>
      </x:c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 t="str">
        <x:f>IF(OR('Goal Scorers'!C89="",'Goal Scorers'!C89="Walkover",'Goal Scorers'!E89&lt;=0,COUNTIFS('Goal Scorers'!$C$5:C89,'Goal Scorers'!C89,'Goal Scorers'!$B$5:B89,'Goal Scorers'!B89)&gt;1),"",'Goal Scorers'!C89)</x:f>
      </x:c>
      <x:c r="S97" s="38" t="str">
        <x:f>IF(R97="","",'Goal Scorers'!B89)</x:f>
      </x:c>
      <x:c r="T97" s="38" t="str">
        <x:f>IF(R97="","",XLOOKUP(S97,Teams!$A$5:$A$36,Teams!$C$5:$C$36,""))</x:f>
      </x:c>
      <x:c r="U97" s="38" t="str">
        <x:f>IF(R97="","",SUMIFS('Goal Scorers'!$E$5:$E$104,'Goal Scorers'!$C$5:$C$104,R97,'Goal Scorers'!$B$5:$B$104,S97))</x:f>
      </x:c>
      <x:c r="V97" s="38" t="str">
        <x:f>IF(R97="","",COUNTIF($U$13:$U$112,"&gt;"&amp;U97)*100000+COUNTIFS($U$13:$U$112,U97,$R$13:$R$112,"&lt;="&amp;R97)*100+COUNTIFS($U$13:$U$112,U97,$R$13:$R$112,R97,$T$13:$T$112,"&lt;="&amp;T97))</x:f>
      </x:c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 t="str">
        <x:f>IF(OR('Goal Scorers'!C90="",'Goal Scorers'!C90="Walkover",'Goal Scorers'!E90&lt;=0,COUNTIFS('Goal Scorers'!$C$5:C90,'Goal Scorers'!C90,'Goal Scorers'!$B$5:B90,'Goal Scorers'!B90)&gt;1),"",'Goal Scorers'!C90)</x:f>
      </x:c>
      <x:c r="S98" s="38" t="str">
        <x:f>IF(R98="","",'Goal Scorers'!B90)</x:f>
      </x:c>
      <x:c r="T98" s="38" t="str">
        <x:f>IF(R98="","",XLOOKUP(S98,Teams!$A$5:$A$36,Teams!$C$5:$C$36,""))</x:f>
      </x:c>
      <x:c r="U98" s="38" t="str">
        <x:f>IF(R98="","",SUMIFS('Goal Scorers'!$E$5:$E$104,'Goal Scorers'!$C$5:$C$104,R98,'Goal Scorers'!$B$5:$B$104,S98))</x:f>
      </x:c>
      <x:c r="V98" s="38" t="str">
        <x:f>IF(R98="","",COUNTIF($U$13:$U$112,"&gt;"&amp;U98)*100000+COUNTIFS($U$13:$U$112,U98,$R$13:$R$112,"&lt;="&amp;R98)*100+COUNTIFS($U$13:$U$112,U98,$R$13:$R$112,R98,$T$13:$T$112,"&lt;="&amp;T98))</x:f>
      </x:c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 t="str">
        <x:f>IF(OR('Goal Scorers'!C91="",'Goal Scorers'!C91="Walkover",'Goal Scorers'!E91&lt;=0,COUNTIFS('Goal Scorers'!$C$5:C91,'Goal Scorers'!C91,'Goal Scorers'!$B$5:B91,'Goal Scorers'!B91)&gt;1),"",'Goal Scorers'!C91)</x:f>
      </x:c>
      <x:c r="S99" s="38" t="str">
        <x:f>IF(R99="","",'Goal Scorers'!B91)</x:f>
      </x:c>
      <x:c r="T99" s="38" t="str">
        <x:f>IF(R99="","",XLOOKUP(S99,Teams!$A$5:$A$36,Teams!$C$5:$C$36,""))</x:f>
      </x:c>
      <x:c r="U99" s="38" t="str">
        <x:f>IF(R99="","",SUMIFS('Goal Scorers'!$E$5:$E$104,'Goal Scorers'!$C$5:$C$104,R99,'Goal Scorers'!$B$5:$B$104,S99))</x:f>
      </x:c>
      <x:c r="V99" s="38" t="str">
        <x:f>IF(R99="","",COUNTIF($U$13:$U$112,"&gt;"&amp;U99)*100000+COUNTIFS($U$13:$U$112,U99,$R$13:$R$112,"&lt;="&amp;R99)*100+COUNTIFS($U$13:$U$112,U99,$R$13:$R$112,R99,$T$13:$T$112,"&lt;="&amp;T99))</x:f>
      </x:c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 t="str">
        <x:f>IF(OR('Goal Scorers'!C92="",'Goal Scorers'!C92="Walkover",'Goal Scorers'!E92&lt;=0,COUNTIFS('Goal Scorers'!$C$5:C92,'Goal Scorers'!C92,'Goal Scorers'!$B$5:B92,'Goal Scorers'!B92)&gt;1),"",'Goal Scorers'!C92)</x:f>
      </x:c>
      <x:c r="S100" s="38" t="str">
        <x:f>IF(R100="","",'Goal Scorers'!B92)</x:f>
      </x:c>
      <x:c r="T100" s="38" t="str">
        <x:f>IF(R100="","",XLOOKUP(S100,Teams!$A$5:$A$36,Teams!$C$5:$C$36,""))</x:f>
      </x:c>
      <x:c r="U100" s="38" t="str">
        <x:f>IF(R100="","",SUMIFS('Goal Scorers'!$E$5:$E$104,'Goal Scorers'!$C$5:$C$104,R100,'Goal Scorers'!$B$5:$B$104,S100))</x:f>
      </x:c>
      <x:c r="V100" s="38" t="str">
        <x:f>IF(R100="","",COUNTIF($U$13:$U$112,"&gt;"&amp;U100)*100000+COUNTIFS($U$13:$U$112,U100,$R$13:$R$112,"&lt;="&amp;R100)*100+COUNTIFS($U$13:$U$112,U100,$R$13:$R$112,R100,$T$13:$T$112,"&lt;="&amp;T100))</x:f>
      </x:c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 t="str">
        <x:f>IF(OR('Goal Scorers'!C93="",'Goal Scorers'!C93="Walkover",'Goal Scorers'!E93&lt;=0,COUNTIFS('Goal Scorers'!$C$5:C93,'Goal Scorers'!C93,'Goal Scorers'!$B$5:B93,'Goal Scorers'!B93)&gt;1),"",'Goal Scorers'!C93)</x:f>
      </x:c>
      <x:c r="S101" s="38" t="str">
        <x:f>IF(R101="","",'Goal Scorers'!B93)</x:f>
      </x:c>
      <x:c r="T101" s="38" t="str">
        <x:f>IF(R101="","",XLOOKUP(S101,Teams!$A$5:$A$36,Teams!$C$5:$C$36,""))</x:f>
      </x:c>
      <x:c r="U101" s="38" t="str">
        <x:f>IF(R101="","",SUMIFS('Goal Scorers'!$E$5:$E$104,'Goal Scorers'!$C$5:$C$104,R101,'Goal Scorers'!$B$5:$B$104,S101))</x:f>
      </x:c>
      <x:c r="V101" s="38" t="str">
        <x:f>IF(R101="","",COUNTIF($U$13:$U$112,"&gt;"&amp;U101)*100000+COUNTIFS($U$13:$U$112,U101,$R$13:$R$112,"&lt;="&amp;R101)*100+COUNTIFS($U$13:$U$112,U101,$R$13:$R$112,R101,$T$13:$T$112,"&lt;="&amp;T101))</x:f>
      </x:c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 t="str">
        <x:f>IF(OR('Goal Scorers'!C94="",'Goal Scorers'!C94="Walkover",'Goal Scorers'!E94&lt;=0,COUNTIFS('Goal Scorers'!$C$5:C94,'Goal Scorers'!C94,'Goal Scorers'!$B$5:B94,'Goal Scorers'!B94)&gt;1),"",'Goal Scorers'!C94)</x:f>
      </x:c>
      <x:c r="S102" s="38" t="str">
        <x:f>IF(R102="","",'Goal Scorers'!B94)</x:f>
      </x:c>
      <x:c r="T102" s="38" t="str">
        <x:f>IF(R102="","",XLOOKUP(S102,Teams!$A$5:$A$36,Teams!$C$5:$C$36,""))</x:f>
      </x:c>
      <x:c r="U102" s="38" t="str">
        <x:f>IF(R102="","",SUMIFS('Goal Scorers'!$E$5:$E$104,'Goal Scorers'!$C$5:$C$104,R102,'Goal Scorers'!$B$5:$B$104,S102))</x:f>
      </x:c>
      <x:c r="V102" s="38" t="str">
        <x:f>IF(R102="","",COUNTIF($U$13:$U$112,"&gt;"&amp;U102)*100000+COUNTIFS($U$13:$U$112,U102,$R$13:$R$112,"&lt;="&amp;R102)*100+COUNTIFS($U$13:$U$112,U102,$R$13:$R$112,R102,$T$13:$T$112,"&lt;="&amp;T102))</x:f>
      </x:c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 t="str">
        <x:f>IF(OR('Goal Scorers'!C95="",'Goal Scorers'!C95="Walkover",'Goal Scorers'!E95&lt;=0,COUNTIFS('Goal Scorers'!$C$5:C95,'Goal Scorers'!C95,'Goal Scorers'!$B$5:B95,'Goal Scorers'!B95)&gt;1),"",'Goal Scorers'!C95)</x:f>
      </x:c>
      <x:c r="S103" s="38" t="str">
        <x:f>IF(R103="","",'Goal Scorers'!B95)</x:f>
      </x:c>
      <x:c r="T103" s="38" t="str">
        <x:f>IF(R103="","",XLOOKUP(S103,Teams!$A$5:$A$36,Teams!$C$5:$C$36,""))</x:f>
      </x:c>
      <x:c r="U103" s="38" t="str">
        <x:f>IF(R103="","",SUMIFS('Goal Scorers'!$E$5:$E$104,'Goal Scorers'!$C$5:$C$104,R103,'Goal Scorers'!$B$5:$B$104,S103))</x:f>
      </x:c>
      <x:c r="V103" s="38" t="str">
        <x:f>IF(R103="","",COUNTIF($U$13:$U$112,"&gt;"&amp;U103)*100000+COUNTIFS($U$13:$U$112,U103,$R$13:$R$112,"&lt;="&amp;R103)*100+COUNTIFS($U$13:$U$112,U103,$R$13:$R$112,R103,$T$13:$T$112,"&lt;="&amp;T103))</x:f>
      </x:c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 t="str">
        <x:f>IF(OR('Goal Scorers'!C96="",'Goal Scorers'!C96="Walkover",'Goal Scorers'!E96&lt;=0,COUNTIFS('Goal Scorers'!$C$5:C96,'Goal Scorers'!C96,'Goal Scorers'!$B$5:B96,'Goal Scorers'!B96)&gt;1),"",'Goal Scorers'!C96)</x:f>
      </x:c>
      <x:c r="S104" s="38" t="str">
        <x:f>IF(R104="","",'Goal Scorers'!B96)</x:f>
      </x:c>
      <x:c r="T104" s="38" t="str">
        <x:f>IF(R104="","",XLOOKUP(S104,Teams!$A$5:$A$36,Teams!$C$5:$C$36,""))</x:f>
      </x:c>
      <x:c r="U104" s="38" t="str">
        <x:f>IF(R104="","",SUMIFS('Goal Scorers'!$E$5:$E$104,'Goal Scorers'!$C$5:$C$104,R104,'Goal Scorers'!$B$5:$B$104,S104))</x:f>
      </x:c>
      <x:c r="V104" s="38" t="str">
        <x:f>IF(R104="","",COUNTIF($U$13:$U$112,"&gt;"&amp;U104)*100000+COUNTIFS($U$13:$U$112,U104,$R$13:$R$112,"&lt;="&amp;R104)*100+COUNTIFS($U$13:$U$112,U104,$R$13:$R$112,R104,$T$13:$T$112,"&lt;="&amp;T104))</x:f>
      </x:c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 t="str">
        <x:f>IF(OR('Goal Scorers'!C97="",'Goal Scorers'!C97="Walkover",'Goal Scorers'!E97&lt;=0,COUNTIFS('Goal Scorers'!$C$5:C97,'Goal Scorers'!C97,'Goal Scorers'!$B$5:B97,'Goal Scorers'!B97)&gt;1),"",'Goal Scorers'!C97)</x:f>
      </x:c>
      <x:c r="S105" s="38" t="str">
        <x:f>IF(R105="","",'Goal Scorers'!B97)</x:f>
      </x:c>
      <x:c r="T105" s="38" t="str">
        <x:f>IF(R105="","",XLOOKUP(S105,Teams!$A$5:$A$36,Teams!$C$5:$C$36,""))</x:f>
      </x:c>
      <x:c r="U105" s="38" t="str">
        <x:f>IF(R105="","",SUMIFS('Goal Scorers'!$E$5:$E$104,'Goal Scorers'!$C$5:$C$104,R105,'Goal Scorers'!$B$5:$B$104,S105))</x:f>
      </x:c>
      <x:c r="V105" s="38" t="str">
        <x:f>IF(R105="","",COUNTIF($U$13:$U$112,"&gt;"&amp;U105)*100000+COUNTIFS($U$13:$U$112,U105,$R$13:$R$112,"&lt;="&amp;R105)*100+COUNTIFS($U$13:$U$112,U105,$R$13:$R$112,R105,$T$13:$T$112,"&lt;="&amp;T105))</x:f>
      </x:c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 t="str">
        <x:f>IF(OR('Goal Scorers'!C98="",'Goal Scorers'!C98="Walkover",'Goal Scorers'!E98&lt;=0,COUNTIFS('Goal Scorers'!$C$5:C98,'Goal Scorers'!C98,'Goal Scorers'!$B$5:B98,'Goal Scorers'!B98)&gt;1),"",'Goal Scorers'!C98)</x:f>
      </x:c>
      <x:c r="S106" s="38" t="str">
        <x:f>IF(R106="","",'Goal Scorers'!B98)</x:f>
      </x:c>
      <x:c r="T106" s="38" t="str">
        <x:f>IF(R106="","",XLOOKUP(S106,Teams!$A$5:$A$36,Teams!$C$5:$C$36,""))</x:f>
      </x:c>
      <x:c r="U106" s="38" t="str">
        <x:f>IF(R106="","",SUMIFS('Goal Scorers'!$E$5:$E$104,'Goal Scorers'!$C$5:$C$104,R106,'Goal Scorers'!$B$5:$B$104,S106))</x:f>
      </x:c>
      <x:c r="V106" s="38" t="str">
        <x:f>IF(R106="","",COUNTIF($U$13:$U$112,"&gt;"&amp;U106)*100000+COUNTIFS($U$13:$U$112,U106,$R$13:$R$112,"&lt;="&amp;R106)*100+COUNTIFS($U$13:$U$112,U106,$R$13:$R$112,R106,$T$13:$T$112,"&lt;="&amp;T106))</x:f>
      </x:c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 t="str">
        <x:f>IF(OR('Goal Scorers'!C99="",'Goal Scorers'!C99="Walkover",'Goal Scorers'!E99&lt;=0,COUNTIFS('Goal Scorers'!$C$5:C99,'Goal Scorers'!C99,'Goal Scorers'!$B$5:B99,'Goal Scorers'!B99)&gt;1),"",'Goal Scorers'!C99)</x:f>
      </x:c>
      <x:c r="S107" s="38" t="str">
        <x:f>IF(R107="","",'Goal Scorers'!B99)</x:f>
      </x:c>
      <x:c r="T107" s="38" t="str">
        <x:f>IF(R107="","",XLOOKUP(S107,Teams!$A$5:$A$36,Teams!$C$5:$C$36,""))</x:f>
      </x:c>
      <x:c r="U107" s="38" t="str">
        <x:f>IF(R107="","",SUMIFS('Goal Scorers'!$E$5:$E$104,'Goal Scorers'!$C$5:$C$104,R107,'Goal Scorers'!$B$5:$B$104,S107))</x:f>
      </x:c>
      <x:c r="V107" s="38" t="str">
        <x:f>IF(R107="","",COUNTIF($U$13:$U$112,"&gt;"&amp;U107)*100000+COUNTIFS($U$13:$U$112,U107,$R$13:$R$112,"&lt;="&amp;R107)*100+COUNTIFS($U$13:$U$112,U107,$R$13:$R$112,R107,$T$13:$T$112,"&lt;="&amp;T107))</x:f>
      </x:c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 t="str">
        <x:f>IF(OR('Goal Scorers'!C100="",'Goal Scorers'!C100="Walkover",'Goal Scorers'!E100&lt;=0,COUNTIFS('Goal Scorers'!$C$5:C100,'Goal Scorers'!C100,'Goal Scorers'!$B$5:B100,'Goal Scorers'!B100)&gt;1),"",'Goal Scorers'!C100)</x:f>
      </x:c>
      <x:c r="S108" s="38" t="str">
        <x:f>IF(R108="","",'Goal Scorers'!B100)</x:f>
      </x:c>
      <x:c r="T108" s="38" t="str">
        <x:f>IF(R108="","",XLOOKUP(S108,Teams!$A$5:$A$36,Teams!$C$5:$C$36,""))</x:f>
      </x:c>
      <x:c r="U108" s="38" t="str">
        <x:f>IF(R108="","",SUMIFS('Goal Scorers'!$E$5:$E$104,'Goal Scorers'!$C$5:$C$104,R108,'Goal Scorers'!$B$5:$B$104,S108))</x:f>
      </x:c>
      <x:c r="V108" s="38" t="str">
        <x:f>IF(R108="","",COUNTIF($U$13:$U$112,"&gt;"&amp;U108)*100000+COUNTIFS($U$13:$U$112,U108,$R$13:$R$112,"&lt;="&amp;R108)*100+COUNTIFS($U$13:$U$112,U108,$R$13:$R$112,R108,$T$13:$T$112,"&lt;="&amp;T108))</x:f>
      </x:c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 t="str">
        <x:f>IF(OR('Goal Scorers'!C101="",'Goal Scorers'!C101="Walkover",'Goal Scorers'!E101&lt;=0,COUNTIFS('Goal Scorers'!$C$5:C101,'Goal Scorers'!C101,'Goal Scorers'!$B$5:B101,'Goal Scorers'!B101)&gt;1),"",'Goal Scorers'!C101)</x:f>
      </x:c>
      <x:c r="S109" s="38" t="str">
        <x:f>IF(R109="","",'Goal Scorers'!B101)</x:f>
      </x:c>
      <x:c r="T109" s="38" t="str">
        <x:f>IF(R109="","",XLOOKUP(S109,Teams!$A$5:$A$36,Teams!$C$5:$C$36,""))</x:f>
      </x:c>
      <x:c r="U109" s="38" t="str">
        <x:f>IF(R109="","",SUMIFS('Goal Scorers'!$E$5:$E$104,'Goal Scorers'!$C$5:$C$104,R109,'Goal Scorers'!$B$5:$B$104,S109))</x:f>
      </x:c>
      <x:c r="V109" s="38" t="str">
        <x:f>IF(R109="","",COUNTIF($U$13:$U$112,"&gt;"&amp;U109)*100000+COUNTIFS($U$13:$U$112,U109,$R$13:$R$112,"&lt;="&amp;R109)*100+COUNTIFS($U$13:$U$112,U109,$R$13:$R$112,R109,$T$13:$T$112,"&lt;="&amp;T109))</x:f>
      </x:c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 t="str">
        <x:f>IF(OR('Goal Scorers'!C102="",'Goal Scorers'!C102="Walkover",'Goal Scorers'!E102&lt;=0,COUNTIFS('Goal Scorers'!$C$5:C102,'Goal Scorers'!C102,'Goal Scorers'!$B$5:B102,'Goal Scorers'!B102)&gt;1),"",'Goal Scorers'!C102)</x:f>
      </x:c>
      <x:c r="S110" s="38" t="str">
        <x:f>IF(R110="","",'Goal Scorers'!B102)</x:f>
      </x:c>
      <x:c r="T110" s="38" t="str">
        <x:f>IF(R110="","",XLOOKUP(S110,Teams!$A$5:$A$36,Teams!$C$5:$C$36,""))</x:f>
      </x:c>
      <x:c r="U110" s="38" t="str">
        <x:f>IF(R110="","",SUMIFS('Goal Scorers'!$E$5:$E$104,'Goal Scorers'!$C$5:$C$104,R110,'Goal Scorers'!$B$5:$B$104,S110))</x:f>
      </x:c>
      <x:c r="V110" s="38" t="str">
        <x:f>IF(R110="","",COUNTIF($U$13:$U$112,"&gt;"&amp;U110)*100000+COUNTIFS($U$13:$U$112,U110,$R$13:$R$112,"&lt;="&amp;R110)*100+COUNTIFS($U$13:$U$112,U110,$R$13:$R$112,R110,$T$13:$T$112,"&lt;="&amp;T110))</x:f>
      </x:c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 t="str">
        <x:f>IF(OR('Goal Scorers'!C103="",'Goal Scorers'!C103="Walkover",'Goal Scorers'!E103&lt;=0,COUNTIFS('Goal Scorers'!$C$5:C103,'Goal Scorers'!C103,'Goal Scorers'!$B$5:B103,'Goal Scorers'!B103)&gt;1),"",'Goal Scorers'!C103)</x:f>
      </x:c>
      <x:c r="S111" s="38" t="str">
        <x:f>IF(R111="","",'Goal Scorers'!B103)</x:f>
      </x:c>
      <x:c r="T111" s="38" t="str">
        <x:f>IF(R111="","",XLOOKUP(S111,Teams!$A$5:$A$36,Teams!$C$5:$C$36,""))</x:f>
      </x:c>
      <x:c r="U111" s="38" t="str">
        <x:f>IF(R111="","",SUMIFS('Goal Scorers'!$E$5:$E$104,'Goal Scorers'!$C$5:$C$104,R111,'Goal Scorers'!$B$5:$B$104,S111))</x:f>
      </x:c>
      <x:c r="V111" s="38" t="str">
        <x:f>IF(R111="","",COUNTIF($U$13:$U$112,"&gt;"&amp;U111)*100000+COUNTIFS($U$13:$U$112,U111,$R$13:$R$112,"&lt;="&amp;R111)*100+COUNTIFS($U$13:$U$112,U111,$R$13:$R$112,R111,$T$13:$T$112,"&lt;="&amp;T111))</x:f>
      </x:c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 t="str">
        <x:f>IF(OR('Goal Scorers'!C104="",'Goal Scorers'!C104="Walkover",'Goal Scorers'!E104&lt;=0,COUNTIFS('Goal Scorers'!$C$5:C104,'Goal Scorers'!C104,'Goal Scorers'!$B$5:B104,'Goal Scorers'!B104)&gt;1),"",'Goal Scorers'!C104)</x:f>
      </x:c>
      <x:c r="S112" s="38" t="str">
        <x:f>IF(R112="","",'Goal Scorers'!B104)</x:f>
      </x:c>
      <x:c r="T112" s="38" t="str">
        <x:f>IF(R112="","",XLOOKUP(S112,Teams!$A$5:$A$36,Teams!$C$5:$C$36,""))</x:f>
      </x:c>
      <x:c r="U112" s="38" t="str">
        <x:f>IF(R112="","",SUMIFS('Goal Scorers'!$E$5:$E$104,'Goal Scorers'!$C$5:$C$104,R112,'Goal Scorers'!$B$5:$B$104,S112))</x:f>
      </x:c>
      <x:c r="V112" s="38" t="str">
        <x:f>IF(R112="","",COUNTIF($U$13:$U$112,"&gt;"&amp;U112)*100000+COUNTIFS($U$13:$U$112,U112,$R$13:$R$112,"&lt;="&amp;R112)*100+COUNTIFS($U$13:$U$112,U112,$R$13:$R$112,R112,$T$13:$T$112,"&lt;="&amp;T112))</x:f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e08d45786f8943fe"/>
    <x:tablePart xmlns:r="http://schemas.openxmlformats.org/officeDocument/2006/relationships" r:id="R3a8da62068694813"/>
  </x:tableParts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.630001068115234" hidden="0" customWidth="1"/>
    <x:col min="2" max="2" width="11.630000114440918" hidden="0" customWidth="1"/>
    <x:col min="3" max="3" width="55.130001068115234" hidden="0" customWidth="1"/>
    <x:col min="4" max="4" width="8.130000114440918" hidden="0" customWidth="1"/>
    <x:col min="5" max="5" width="47.380001068115234" hidden="0" customWidth="1"/>
  </x:cols>
  <x:sheetData>
    <x:row r="1" ht="15" hidden="0" customHeight="1">
      <x:c r="A1" s="47" t="str">
        <x:v>Validation</x:v>
      </x:c>
      <x:c r="B1" s="38"/>
      <x:c r="C1" s="38"/>
      <x:c r="D1" s="38"/>
      <x:c r="E1" s="38"/>
    </x:row>
    <x:row r="2" ht="15" hidden="0" customHeight="1">
      <x:c r="A2" s="38" t="str">
        <x:v>Prototype validation checks for common v1.0 failure modes.</x:v>
      </x:c>
      <x:c r="B2" s="38"/>
      <x:c r="C2" s="38"/>
      <x:c r="D2" s="38"/>
      <x:c r="E2" s="38"/>
    </x:row>
    <x:row r="3" ht="15" hidden="0" customHeight="1">
      <x:c r="A3" s="38"/>
      <x:c r="B3" s="38"/>
      <x:c r="C3" s="38"/>
      <x:c r="D3" s="38"/>
      <x:c r="E3" s="38"/>
    </x:row>
    <x:row r="4" ht="15" hidden="0" customHeight="1">
      <x:c r="A4" s="39" t="str">
        <x:v>Check ID</x:v>
      </x:c>
      <x:c r="B4" s="40" t="str">
        <x:v>Area</x:v>
      </x:c>
      <x:c r="C4" s="40" t="str">
        <x:v>Check</x:v>
      </x:c>
      <x:c r="D4" s="40" t="str">
        <x:v>Status</x:v>
      </x:c>
      <x:c r="E4" s="41" t="str">
        <x:v>Detail</x:v>
      </x:c>
    </x:row>
    <x:row r="5" ht="15" hidden="0" customHeight="1">
      <x:c r="A5" s="48" t="str">
        <x:v>VAL001</x:v>
      </x:c>
      <x:c r="B5" s="38" t="str">
        <x:v>Setup</x:v>
      </x:c>
      <x:c r="C5" s="38" t="str">
        <x:v>Competition name present</x:v>
      </x:c>
      <x:c r="D5" s="38" t="str">
        <x:f>IF(Setup!B5&lt;&gt;"","OK","Issue")</x:f>
        <x:v>OK</x:v>
      </x:c>
      <x:c r="E5" s="49" t="str">
        <x:f>IF(D5="OK","","Missing competition name")</x:f>
      </x:c>
    </x:row>
    <x:row r="6" ht="15" hidden="0" customHeight="1">
      <x:c r="A6" s="48" t="str">
        <x:v>VAL002</x:v>
      </x:c>
      <x:c r="B6" s="38" t="str">
        <x:v>Teams</x:v>
      </x:c>
      <x:c r="C6" s="38" t="str">
        <x:v>No duplicate Team IDs</x:v>
      </x:c>
      <x:c r="D6" s="38" t="str">
        <x:f>IF(SUMPRODUCT((Teams!A5:A36&lt;&gt;"")*(COUNTIF(Teams!A5:A36,Teams!A5:A36)&gt;1))=0,"OK","Issue")</x:f>
        <x:v>OK</x:v>
      </x:c>
      <x:c r="E6" s="49" t="str">
        <x:f>IF(D6="OK","","Duplicate Team ID present")</x:f>
      </x:c>
    </x:row>
    <x:row r="7" ht="15" hidden="0" customHeight="1">
      <x:c r="A7" s="48" t="str">
        <x:v>VAL003</x:v>
      </x:c>
      <x:c r="B7" s="38" t="str">
        <x:v>Venues</x:v>
      </x:c>
      <x:c r="C7" s="38" t="str">
        <x:v>No duplicate Venue IDs</x:v>
      </x:c>
      <x:c r="D7" s="38" t="str">
        <x:f>IF(SUMPRODUCT((Venues!A5:A24&lt;&gt;"")*(COUNTIF(Venues!A5:A24,Venues!A5:A24)&gt;1))=0,"OK","Issue")</x:f>
        <x:v>OK</x:v>
      </x:c>
      <x:c r="E7" s="49" t="str">
        <x:f>IF(D7="OK","","Duplicate Venue ID present")</x:f>
      </x:c>
    </x:row>
    <x:row r="8" ht="15" hidden="0" customHeight="1">
      <x:c r="A8" s="48" t="str">
        <x:v>VAL004</x:v>
      </x:c>
      <x:c r="B8" s="38" t="str">
        <x:v>Fixtures</x:v>
      </x:c>
      <x:c r="C8" s="38" t="str">
        <x:v>No duplicate Match IDs</x:v>
      </x:c>
      <x:c r="D8" s="38" t="str">
        <x:f>IF(SUMPRODUCT((Fixtures!A5:A204&lt;&gt;"")*(COUNTIF(Fixtures!A5:A204,Fixtures!A5:A204)&gt;1))=0,"OK","Issue")</x:f>
        <x:v>OK</x:v>
      </x:c>
      <x:c r="E8" s="49" t="str">
        <x:f>IF(D8="OK","","Duplicate Match ID present")</x:f>
      </x:c>
    </x:row>
    <x:row r="9" ht="15" hidden="0" customHeight="1">
      <x:c r="A9" s="48" t="str">
        <x:v>VAL005</x:v>
      </x:c>
      <x:c r="B9" s="38" t="str">
        <x:v>Fixtures</x:v>
      </x:c>
      <x:c r="C9" s="38" t="str">
        <x:v>All fixture labels present</x:v>
      </x:c>
      <x:c r="D9" s="38" t="str">
        <x:f>IF(COUNTIFS(Fixtures!A5:A204,"&lt;&gt;",Fixtures!M5:M204,"")=0,"OK","Issue")</x:f>
        <x:v>OK</x:v>
      </x:c>
      <x:c r="E9" s="49" t="str">
        <x:f>IF(D9="OK","","A fixture is missing Form Fixture Label")</x:f>
      </x:c>
    </x:row>
    <x:row r="10" ht="15" hidden="0" customHeight="1">
      <x:c r="A10" s="48" t="str">
        <x:v>VAL006</x:v>
      </x:c>
      <x:c r="B10" s="38" t="str">
        <x:v>Fixtures</x:v>
      </x:c>
      <x:c r="C10" s="38" t="str">
        <x:v>Unresolved placeholder fixtures are flagged and excluded from Form sync</x:v>
      </x:c>
      <x:c r="D10" s="38" t="str">
        <x:f>IF(COUNTIF(Fixtures!O5:O204,"Unresolved placeholder fixture")=0,"OK","Issue")</x:f>
        <x:v>Issue</x:v>
      </x:c>
      <x:c r="E10" s="49" t="str">
        <x:f>IF(D10="OK","","Unresolved placeholder fixture exists; excluded from Form sync")</x:f>
        <x:v>Unresolved placeholder fixture exists; excluded from Form sync</x:v>
      </x:c>
    </x:row>
    <x:row r="11" ht="15" hidden="0" customHeight="1">
      <x:c r="A11" s="48" t="str">
        <x:v>VAL007</x:v>
      </x:c>
      <x:c r="B11" s="38" t="str">
        <x:v>Result Review</x:v>
      </x:c>
      <x:c r="C11" s="38" t="str">
        <x:v>No multiple Approved Current rows per Match ID</x:v>
      </x:c>
      <x:c r="D11" s="38" t="str">
        <x:f>IF(COUNTIF('Result Review'!AA5:AA204,"Multiple Approved Current")=0,"OK","Issue")</x:f>
        <x:v>OK</x:v>
      </x:c>
      <x:c r="E11" s="49" t="str">
        <x:f>IF(D11="OK","","More than one Approved Current row for a Match ID")</x:f>
      </x:c>
    </x:row>
    <x:row r="12" ht="15" hidden="0" customHeight="1">
      <x:c r="A12" s="48" t="str">
        <x:v>VAL008</x:v>
      </x:c>
      <x:c r="B12" s="38" t="str">
        <x:v>Result Review</x:v>
      </x:c>
      <x:c r="C12" s="38" t="str">
        <x:v>Walkovers have a winner</x:v>
      </x:c>
      <x:c r="D12" s="38" t="str">
        <x:f>IF(COUNTIFS('Result Review'!J5:J204,"Walkover",'Result Review'!K5:K204,"",'Result Review'!R5:R204,"Approved Current")=0,"OK","Issue")</x:f>
        <x:v>OK</x:v>
      </x:c>
      <x:c r="E12" s="49" t="str">
        <x:f>IF(D12="OK","","Approved walkover missing winner")</x:f>
      </x:c>
    </x:row>
    <x:row r="13" ht="15" hidden="0" customHeight="1">
      <x:c r="A13" s="48" t="str">
        <x:v>VAL009</x:v>
      </x:c>
      <x:c r="B13" s="38" t="str">
        <x:v>Official Results</x:v>
      </x:c>
      <x:c r="C13" s="38" t="str">
        <x:v>Official Results derived from Approved Current only</x:v>
      </x:c>
      <x:c r="D13" s="38" t="str">
        <x:f>IFERROR(IF(SUMPRODUCT((LEN('Official Results'!A5:A204)&gt;0)*('Official Results'!N5:N204&lt;&gt;"Approved Current"))=0,"OK","Issue"),"OK")</x:f>
        <x:v>OK</x:v>
      </x:c>
      <x:c r="E13" s="49" t="str">
        <x:f>IF(D13="OK","","Official Results includes non-current approval")</x:f>
      </x:c>
    </x:row>
    <x:row r="14" ht="15" hidden="0" customHeight="1">
      <x:c r="A14" s="48" t="str">
        <x:v>VAL010</x:v>
      </x:c>
      <x:c r="B14" s="38" t="str">
        <x:v>Goal Scorers</x:v>
      </x:c>
      <x:c r="C14" s="38" t="str">
        <x:v>Scorer rows have required fields</x:v>
      </x:c>
      <x:c r="D14" s="38" t="str">
        <x:f>IF(COUNTIF('Goal Scorers'!G5:G104,"OK")=COUNTA('Goal Scorers'!A5:A104),"OK","Issue")</x:f>
        <x:v>OK</x:v>
      </x:c>
      <x:c r="E14" s="49" t="str">
        <x:f>IF(D14="OK","","Scorer row missing required field or negative goals")</x:f>
      </x:c>
    </x:row>
    <x:row r="15" ht="15" hidden="0" customHeight="1">
      <x:c r="A15" s="50" t="str">
        <x:v>VAL011</x:v>
      </x:c>
      <x:c r="B15" s="51" t="str">
        <x:v>Reports</x:v>
      </x:c>
      <x:c r="C15" s="51" t="str">
        <x:v>Private submitter fields excluded from Reports</x:v>
      </x:c>
      <x:c r="D15" s="51" t="str">
        <x:f>"OK"</x:f>
        <x:v>OK</x:v>
      </x:c>
      <x:c r="E15" s="52" t="str">
        <x:f>"Reports pulls standings/scorers only."</x:f>
        <x:v>Reports pulls standings/scorers only.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a53d3b6ab040ac"/>
  </x:tableParts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5.6299991607666" hidden="0" customWidth="1"/>
    <x:col min="2" max="2" width="22.25" hidden="0" customWidth="1"/>
  </x:cols>
  <x:sheetData>
    <x:row r="1" ht="15" hidden="0" customHeight="1">
      <x:c r="A1" s="47" t="str">
        <x:v>Lookups</x:v>
      </x:c>
      <x:c r="B1" s="38"/>
    </x:row>
    <x:row r="2" ht="15" hidden="0" customHeight="1">
      <x:c r="A2" s="38" t="str">
        <x:v>Dropdown values and helper lists.</x:v>
      </x:c>
      <x:c r="B2" s="38"/>
    </x:row>
    <x:row r="3" ht="15" hidden="0" customHeight="1">
      <x:c r="A3" s="38"/>
      <x:c r="B3" s="38"/>
    </x:row>
    <x:row r="4" ht="15" hidden="0" customHeight="1">
      <x:c r="A4" s="39" t="str">
        <x:v>List Name</x:v>
      </x:c>
      <x:c r="B4" s="41" t="str">
        <x:v>Value</x:v>
      </x:c>
    </x:row>
    <x:row r="5" ht="15" hidden="0" customHeight="1">
      <x:c r="A5" s="48" t="str">
        <x:v>Review Status</x:v>
      </x:c>
      <x:c r="B5" s="49" t="str">
        <x:v>Pending Review</x:v>
      </x:c>
    </x:row>
    <x:row r="6" ht="15" hidden="0" customHeight="1">
      <x:c r="A6" s="48" t="str">
        <x:v>Review Status</x:v>
      </x:c>
      <x:c r="B6" s="49" t="str">
        <x:v>Approved Current</x:v>
      </x:c>
    </x:row>
    <x:row r="7" ht="15" hidden="0" customHeight="1">
      <x:c r="A7" s="48" t="str">
        <x:v>Review Status</x:v>
      </x:c>
      <x:c r="B7" s="49" t="str">
        <x:v>Approved Superseded</x:v>
      </x:c>
    </x:row>
    <x:row r="8" ht="15" hidden="0" customHeight="1">
      <x:c r="A8" s="48" t="str">
        <x:v>Review Status</x:v>
      </x:c>
      <x:c r="B8" s="49" t="str">
        <x:v>Rejected</x:v>
      </x:c>
    </x:row>
    <x:row r="9" ht="15" hidden="0" customHeight="1">
      <x:c r="A9" s="48" t="str">
        <x:v>Review Status</x:v>
      </x:c>
      <x:c r="B9" s="49" t="str">
        <x:v>Needs Clarification</x:v>
      </x:c>
    </x:row>
    <x:row r="10" ht="15" hidden="0" customHeight="1">
      <x:c r="A10" s="48" t="str">
        <x:v>Submission Type</x:v>
      </x:c>
      <x:c r="B10" s="49" t="str">
        <x:v>New Result</x:v>
      </x:c>
    </x:row>
    <x:row r="11" ht="15" hidden="0" customHeight="1">
      <x:c r="A11" s="48" t="str">
        <x:v>Submission Type</x:v>
      </x:c>
      <x:c r="B11" s="49" t="str">
        <x:v>Correction to Previous Result</x:v>
      </x:c>
    </x:row>
    <x:row r="12" ht="15" hidden="0" customHeight="1">
      <x:c r="A12" s="48" t="str">
        <x:v>Match Status</x:v>
      </x:c>
      <x:c r="B12" s="49" t="str">
        <x:v>Scheduled</x:v>
      </x:c>
    </x:row>
    <x:row r="13" ht="15" hidden="0" customHeight="1">
      <x:c r="A13" s="48" t="str">
        <x:v>Match Status</x:v>
      </x:c>
      <x:c r="B13" s="49" t="str">
        <x:v>Played</x:v>
      </x:c>
    </x:row>
    <x:row r="14" ht="15" hidden="0" customHeight="1">
      <x:c r="A14" s="48" t="str">
        <x:v>Match Status</x:v>
      </x:c>
      <x:c r="B14" s="49" t="str">
        <x:v>Postponed</x:v>
      </x:c>
    </x:row>
    <x:row r="15" ht="15" hidden="0" customHeight="1">
      <x:c r="A15" s="48" t="str">
        <x:v>Match Status</x:v>
      </x:c>
      <x:c r="B15" s="49" t="str">
        <x:v>Abandoned</x:v>
      </x:c>
    </x:row>
    <x:row r="16" ht="15" hidden="0" customHeight="1">
      <x:c r="A16" s="48" t="str">
        <x:v>Match Status</x:v>
      </x:c>
      <x:c r="B16" s="49" t="str">
        <x:v>Void</x:v>
      </x:c>
    </x:row>
    <x:row r="17" ht="15" hidden="0" customHeight="1">
      <x:c r="A17" s="48" t="str">
        <x:v>Match Status</x:v>
      </x:c>
      <x:c r="B17" s="49" t="str">
        <x:v>Walkover</x:v>
      </x:c>
    </x:row>
    <x:row r="18" ht="15" hidden="0" customHeight="1">
      <x:c r="A18" s="48" t="str">
        <x:v>Team Status</x:v>
      </x:c>
      <x:c r="B18" s="49" t="str">
        <x:v>Active</x:v>
      </x:c>
    </x:row>
    <x:row r="19" ht="15" hidden="0" customHeight="1">
      <x:c r="A19" s="48" t="str">
        <x:v>Team Status</x:v>
      </x:c>
      <x:c r="B19" s="49" t="str">
        <x:v>Withdrawn</x:v>
      </x:c>
    </x:row>
    <x:row r="20" ht="15" hidden="0" customHeight="1">
      <x:c r="A20" s="48" t="str">
        <x:v>Team Status</x:v>
      </x:c>
      <x:c r="B20" s="49" t="str">
        <x:v>Removed from standings</x:v>
      </x:c>
    </x:row>
    <x:row r="21" ht="15" hidden="0" customHeight="1">
      <x:c r="A21" s="48" t="str">
        <x:v>Venue Status</x:v>
      </x:c>
      <x:c r="B21" s="49" t="str">
        <x:v>Active</x:v>
      </x:c>
    </x:row>
    <x:row r="22" ht="15" hidden="0" customHeight="1">
      <x:c r="A22" s="48" t="str">
        <x:v>Venue Status</x:v>
      </x:c>
      <x:c r="B22" s="49" t="str">
        <x:v>Inactive</x:v>
      </x:c>
    </x:row>
    <x:row r="23" ht="15" hidden="0" customHeight="1">
      <x:c r="A23" s="48" t="str">
        <x:v>Yes/No</x:v>
      </x:c>
      <x:c r="B23" s="49" t="str">
        <x:v>Yes</x:v>
      </x:c>
    </x:row>
    <x:row r="24" ht="15" hidden="0" customHeight="1">
      <x:c r="A24" s="48" t="str">
        <x:v>Yes/No</x:v>
      </x:c>
      <x:c r="B24" s="49" t="str">
        <x:v>No</x:v>
      </x:c>
    </x:row>
    <x:row r="25" ht="15" hidden="0" customHeight="1">
      <x:c r="A25" s="48" t="str">
        <x:v>Fixture Mode</x:v>
      </x:c>
      <x:c r="B25" s="49" t="str">
        <x:v>League/Round-robin</x:v>
      </x:c>
    </x:row>
    <x:row r="26" ht="15" hidden="0" customHeight="1">
      <x:c r="A26" s="48" t="str">
        <x:v>Fixture Mode</x:v>
      </x:c>
      <x:c r="B26" s="49" t="str">
        <x:v>Group Stage</x:v>
      </x:c>
    </x:row>
    <x:row r="27" ht="15" hidden="0" customHeight="1">
      <x:c r="A27" s="48" t="str">
        <x:v>Fixture Mode</x:v>
      </x:c>
      <x:c r="B27" s="49" t="str">
        <x:v>Simple Knockout</x:v>
      </x:c>
    </x:row>
    <x:row r="28" ht="15" hidden="0" customHeight="1">
      <x:c r="A28" s="50" t="str">
        <x:v>Fixture Mode</x:v>
      </x:c>
      <x:c r="B28" s="52" t="str">
        <x:v>Manual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df2b7419c4c446e"/>
  </x:tableParts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0" hidden="0" customWidth="1"/>
    <x:col min="2" max="2" width="13.25" hidden="0" customWidth="1"/>
    <x:col min="3" max="3" width="14.880000114440918" hidden="0" customWidth="1"/>
    <x:col min="4" max="4" width="19.5" hidden="0" customWidth="1"/>
    <x:col min="5" max="5" width="15.130000114440918" hidden="0" customWidth="1"/>
    <x:col min="6" max="6" width="15" hidden="0" customWidth="1"/>
    <x:col min="7" max="7" width="19.1299991607666" hidden="0" customWidth="1"/>
    <x:col min="8" max="8" width="11.75" hidden="0" customWidth="1"/>
    <x:col min="9" max="9" width="34" hidden="0" customWidth="1"/>
  </x:cols>
  <x:sheetData>
    <x:row r="1" ht="15" hidden="0" customHeight="1">
      <x:c r="A1" s="47" t="str">
        <x:v>Archive</x:v>
      </x:c>
      <x:c r="B1" s="38"/>
      <x:c r="C1" s="38"/>
      <x:c r="D1" s="38"/>
      <x:c r="E1" s="38"/>
      <x:c r="F1" s="38"/>
      <x:c r="G1" s="38"/>
      <x:c r="H1" s="38"/>
      <x:c r="I1" s="38"/>
    </x:row>
    <x:row r="2" ht="15" hidden="0" customHeight="1">
      <x:c r="A2" s="38" t="str">
        <x:v>Manual competition snapshots for completed outputs.</x:v>
      </x:c>
      <x:c r="B2" s="38"/>
      <x:c r="C2" s="38"/>
      <x:c r="D2" s="38"/>
      <x:c r="E2" s="38"/>
      <x:c r="F2" s="38"/>
      <x:c r="G2" s="38"/>
      <x:c r="H2" s="38"/>
      <x:c r="I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</x:row>
    <x:row r="4" ht="15" hidden="0" customHeight="1">
      <x:c r="A4" s="39" t="str">
        <x:v>Archive ID</x:v>
      </x:c>
      <x:c r="B4" s="40" t="str">
        <x:v>Archive Date</x:v>
      </x:c>
      <x:c r="C4" s="40" t="str">
        <x:v>Competition ID</x:v>
      </x:c>
      <x:c r="D4" s="40" t="str">
        <x:v>Competition Name</x:v>
      </x:c>
      <x:c r="E4" s="40" t="str">
        <x:v>Snapshot Type</x:v>
      </x:c>
      <x:c r="F4" s="40" t="str">
        <x:v>Division/Group</x:v>
      </x:c>
      <x:c r="G4" s="40" t="str">
        <x:v>Export/Report Name</x:v>
      </x:c>
      <x:c r="H4" s="40" t="str">
        <x:v>Version</x:v>
      </x:c>
      <x:c r="I4" s="41" t="str">
        <x:v>Notes</x:v>
      </x:c>
    </x:row>
    <x:row r="5" ht="15" hidden="0" customHeight="1">
      <x:c r="A5" s="50" t="str">
        <x:v>A001</x:v>
      </x:c>
      <x:c r="B5" s="51" t="str"/>
      <x:c r="C5" s="51" t="str">
        <x:v>C001</x:v>
      </x:c>
      <x:c r="D5" s="51" t="str">
        <x:v>Example Community Cup</x:v>
      </x:c>
      <x:c r="E5" s="51" t="str">
        <x:v>Manual placeholder</x:v>
      </x:c>
      <x:c r="F5" s="51" t="str"/>
      <x:c r="G5" s="51" t="str"/>
      <x:c r="H5" s="51" t="str">
        <x:v>0.1.0-prototype</x:v>
      </x:c>
      <x:c r="I5" s="52" t="str">
        <x:v>Copy report values here at competition close.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d8b813f33fc467a"/>
  </x:tableParts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4.75" hidden="0" customWidth="1"/>
    <x:col min="2" max="2" width="40.25" hidden="0" customWidth="1"/>
    <x:col min="3" max="3" width="32.130001068115234" hidden="0" customWidth="1"/>
    <x:col min="4" max="4" width="26.6299991607666" hidden="0" customWidth="1"/>
  </x:cols>
  <x:sheetData>
    <x:row r="1" ht="15" hidden="0" customHeight="1">
      <x:c r="A1" s="47" t="str">
        <x:v>Example Data</x:v>
      </x:c>
      <x:c r="B1" s="38"/>
      <x:c r="C1" s="38"/>
      <x:c r="D1" s="38"/>
    </x:row>
    <x:row r="2" ht="15" hidden="0" customHeight="1">
      <x:c r="A2" s="38" t="str">
        <x:v>Fictional demo data used by the prototype. Do not use real youth/player data in demos.</x:v>
      </x:c>
      <x:c r="B2" s="38"/>
      <x:c r="C2" s="38"/>
      <x:c r="D2" s="38"/>
    </x:row>
    <x:row r="3" ht="15" hidden="0" customHeight="1">
      <x:c r="A3" s="38"/>
      <x:c r="B3" s="38"/>
      <x:c r="C3" s="38"/>
      <x:c r="D3" s="38"/>
    </x:row>
    <x:row r="4" ht="15" hidden="0" customHeight="1">
      <x:c r="A4" s="39" t="str">
        <x:v>Dataset</x:v>
      </x:c>
      <x:c r="B4" s="40" t="str">
        <x:v>What It Demonstrates</x:v>
      </x:c>
      <x:c r="C4" s="40" t="str">
        <x:v>Sheets Touched</x:v>
      </x:c>
      <x:c r="D4" s="41" t="str">
        <x:v>Notes</x:v>
      </x:c>
    </x:row>
    <x:row r="5" ht="15" hidden="0" customHeight="1">
      <x:c r="A5" s="48" t="str">
        <x:v>8-team demo</x:v>
      </x:c>
      <x:c r="B5" s="38" t="str">
        <x:v>Two groups, 12 fixtures, approvals and one correction</x:v>
      </x:c>
      <x:c r="C5" s="38" t="str">
        <x:v>Teams, Fixtures, Result Review, Standings</x:v>
      </x:c>
      <x:c r="D5" s="49" t="str">
        <x:v>Included in this prototype.</x:v>
      </x:c>
    </x:row>
    <x:row r="6" ht="15" hidden="0" customHeight="1">
      <x:c r="A6" s="48" t="str">
        <x:v>Walkover demo</x:v>
      </x:c>
      <x:c r="B6" s="38" t="str">
        <x:v>Default 3-0 walkover</x:v>
      </x:c>
      <x:c r="C6" s="38" t="str">
        <x:v>Result Review, Official Results, Standings</x:v>
      </x:c>
      <x:c r="D6" s="49" t="str">
        <x:v>M005 awards T005 a 3-0 result.</x:v>
      </x:c>
    </x:row>
    <x:row r="7" ht="15" hidden="0" customHeight="1">
      <x:c r="A7" s="48" t="str">
        <x:v>Void demo</x:v>
      </x:c>
      <x:c r="B7" s="38" t="str">
        <x:v>Void result excluded from standings</x:v>
      </x:c>
      <x:c r="C7" s="38" t="str">
        <x:v>Result Review, Official Results, Standings</x:v>
      </x:c>
      <x:c r="D7" s="49" t="str">
        <x:v>M006 is official but non-counting.</x:v>
      </x:c>
    </x:row>
    <x:row r="8" ht="15" hidden="0" customHeight="1">
      <x:c r="A8" s="48" t="str">
        <x:v>Top Scorers demo</x:v>
      </x:c>
      <x:c r="B8" s="38" t="str">
        <x:v>Optional scorer rows without player database</x:v>
      </x:c>
      <x:c r="C8" s="38" t="str">
        <x:v>Goal Scorers, Reports</x:v>
      </x:c>
      <x:c r="D8" s="49" t="str">
        <x:v>Fictional display names only.</x:v>
      </x:c>
    </x:row>
    <x:row r="9" ht="15" hidden="0" customHeight="1">
      <x:c r="A9" s="50" t="str">
        <x:v>32-team stress dataset</x:v>
      </x:c>
      <x:c r="B9" s="51" t="str">
        <x:v>Future QA coverage</x:v>
      </x:c>
      <x:c r="C9" s="51" t="str">
        <x:v>Not included</x:v>
      </x:c>
      <x:c r="D9" s="52" t="str">
        <x:v>Required before release candidate.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ed3544f31814004"/>
  </x:tableParts>
</x:worksheet>
</file>